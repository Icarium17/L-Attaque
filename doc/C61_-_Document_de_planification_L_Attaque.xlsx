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929"/>
  <workbookPr defaultThemeVersion="166925"/>
  <mc:AlternateContent xmlns:mc="http://schemas.openxmlformats.org/markup-compatibility/2006">
    <mc:Choice Requires="x15">
      <x15ac:absPath xmlns:x15ac="http://schemas.microsoft.com/office/spreadsheetml/2010/11/ac" url="C:\Download\_Cours_Eddy\_prog_projet\L-Attaque\doc\"/>
    </mc:Choice>
  </mc:AlternateContent>
  <xr:revisionPtr revIDLastSave="0" documentId="13_ncr:1_{9CE6D18F-50D5-419C-86C3-7D25399D39BA}" xr6:coauthVersionLast="44" xr6:coauthVersionMax="47" xr10:uidLastSave="{00000000-0000-0000-0000-000000000000}"/>
  <bookViews>
    <workbookView xWindow="-108" yWindow="-108" windowWidth="23256" windowHeight="13896" activeTab="5" xr2:uid="{0139C51A-36D8-4FB0-B647-CB90E1DC24D3}"/>
  </bookViews>
  <sheets>
    <sheet name="Planification" sheetId="1" r:id="rId1"/>
    <sheet name="Sprint 1" sheetId="2" r:id="rId2"/>
    <sheet name=" Sprint 2" sheetId="8" r:id="rId3"/>
    <sheet name="Sprint 3" sheetId="4" r:id="rId4"/>
    <sheet name="Mi-mandat" sheetId="7" r:id="rId5"/>
    <sheet name="Sprint 4" sheetId="5" r:id="rId6"/>
    <sheet name="Planification trop détaillée" sheetId="11" r:id="rId7"/>
  </sheets>
  <definedNames>
    <definedName name="_xlnm._FilterDatabase" localSheetId="2" hidden="1">' Sprint 2'!$B$5:$L$6</definedName>
    <definedName name="_xlnm._FilterDatabase" localSheetId="0" hidden="1">Planification!$B$5:$E$37</definedName>
    <definedName name="_xlnm._FilterDatabase" localSheetId="6" hidden="1">'Planification trop détaillée'!$B$5:$F$75</definedName>
    <definedName name="_xlnm._FilterDatabase" localSheetId="3" hidden="1">'Sprint 3'!$B$4:$L$5</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calcFeatures>
    </ext>
  </extLst>
</workbook>
</file>

<file path=xl/calcChain.xml><?xml version="1.0" encoding="utf-8"?>
<calcChain xmlns="http://schemas.openxmlformats.org/spreadsheetml/2006/main">
  <c r="E39" i="1" l="1"/>
</calcChain>
</file>

<file path=xl/sharedStrings.xml><?xml version="1.0" encoding="utf-8"?>
<sst xmlns="http://schemas.openxmlformats.org/spreadsheetml/2006/main" count="705" uniqueCount="263">
  <si>
    <t>Planification globale</t>
  </si>
  <si>
    <t>Tâche</t>
  </si>
  <si>
    <t>Sprint visé</t>
  </si>
  <si>
    <t>Sprint 1</t>
  </si>
  <si>
    <t>Priorité</t>
  </si>
  <si>
    <t>Durée prévue (heures)</t>
  </si>
  <si>
    <t>Sprint 2</t>
  </si>
  <si>
    <t>Responsable</t>
  </si>
  <si>
    <t>Temps</t>
  </si>
  <si>
    <t>Avancement</t>
  </si>
  <si>
    <t>Temps (hrs)</t>
  </si>
  <si>
    <t>Avancement (%)</t>
  </si>
  <si>
    <t>Commentaires</t>
  </si>
  <si>
    <t>Semaine A</t>
  </si>
  <si>
    <t>Semaine B</t>
  </si>
  <si>
    <t>Semaine C</t>
  </si>
  <si>
    <t>Sprint 3</t>
  </si>
  <si>
    <t>Sprint 4</t>
  </si>
  <si>
    <t>Vous devez lister un minimum de 25 tâches significatives</t>
  </si>
  <si>
    <t>Semaine D</t>
  </si>
  <si>
    <t>Mi-mandat</t>
  </si>
  <si>
    <t>Création de la base de données MySQL et des tables</t>
  </si>
  <si>
    <t xml:space="preserve">Installation du serveur DigitalOcean </t>
  </si>
  <si>
    <t>Installer Node.js</t>
  </si>
  <si>
    <t>Installer le projet avec Vite</t>
  </si>
  <si>
    <t>Installer et configurer Tailwind CSS</t>
  </si>
  <si>
    <t>Serveur/Client</t>
  </si>
  <si>
    <t>Créer global.css</t>
  </si>
  <si>
    <t>Créer la page index.jsx : structure simple</t>
  </si>
  <si>
    <t>Créer la page main.jsx:  ajouter le retour vers pages:index,lobby,game</t>
  </si>
  <si>
    <t>Serveur</t>
  </si>
  <si>
    <t>Base de donnée</t>
  </si>
  <si>
    <t>Client</t>
  </si>
  <si>
    <t>Créer : backend PHP/action/ CommonAction.php (classe abstraite)</t>
  </si>
  <si>
    <t xml:space="preserve">Créer index.php  </t>
  </si>
  <si>
    <t>Créer IndexAction:signup, signin,signout</t>
  </si>
  <si>
    <t>Dans la page index.jsx : ajout réponse jsx selon contexte</t>
  </si>
  <si>
    <t>Intégration de la logique d'authentification frontend-backend (fetch POST, sessions)</t>
  </si>
  <si>
    <t xml:space="preserve">Créer lobby.php  </t>
  </si>
  <si>
    <t>Créer LobbyAction:(newGame, resumeGame, getRanking, signout)</t>
  </si>
  <si>
    <t>Créer le composant : Button</t>
  </si>
  <si>
    <t>Créer le composant : Error</t>
  </si>
  <si>
    <t>Créer le composant : MainLayout</t>
  </si>
  <si>
    <t>Créer : création d'une partie vs IA ou partie vs joueur</t>
  </si>
  <si>
    <t>Création de la Page lobby.jsx (navigation, gestion session, boutons actions)</t>
  </si>
  <si>
    <t xml:space="preserve">Créer game.php  </t>
  </si>
  <si>
    <t>Créer le composant : Board(grille 10x10, zones infranchissables)</t>
  </si>
  <si>
    <t>Créer le composant Piece (rang, faction, révélation, apparence)</t>
  </si>
  <si>
    <t>Créer la logique de mise en place initiale des pièces( drag-and-drop, 4 rangées de 10 pièces)</t>
  </si>
  <si>
    <t>Implémentation de la logique de déplacement des pièces (validation des mouvements)</t>
  </si>
  <si>
    <t xml:space="preserve">Serveur </t>
  </si>
  <si>
    <t>Mise a jour affichage suite à combat</t>
  </si>
  <si>
    <t>Création des composants CapturedPieces et LostPieces</t>
  </si>
  <si>
    <t xml:space="preserve">Création du composant PlayerInfo  </t>
  </si>
  <si>
    <t>Implémentation du système de tours (Observer pattern:useEffect)</t>
  </si>
  <si>
    <t>Ajout de la gestion du temps de jeu des joueurs (Compte à rebourd)</t>
  </si>
  <si>
    <t>Implémentation des conditions de fin de partie: drapeau capturé</t>
  </si>
  <si>
    <t>Implémentation des conditions de fin de partie: plus de mouvement</t>
  </si>
  <si>
    <t>Implémentation des conditions de fin de partie: temps écoulé</t>
  </si>
  <si>
    <t>Implémentation affichage et gestion des contrôles selon état du jeu</t>
  </si>
  <si>
    <t>Développement du système de combat automatisé (comparaison des grades, règles spéciales:bombes...)</t>
  </si>
  <si>
    <t>Développement du système de sauvegarde et restauration de partie</t>
  </si>
  <si>
    <t>Développement de l'IA - Algorithme MCTS (arborescence, double liste chaînée)</t>
  </si>
  <si>
    <t>Implémentation du Belief State (dictionnaire de probabilités par pièce)</t>
  </si>
  <si>
    <t>Développement des 3 niveaux de difficulté de l'IA (facile, moyen, difficile)</t>
  </si>
  <si>
    <t>Implémentation du chat entre joueurs: céation de la base de donnée, affichage</t>
  </si>
  <si>
    <t>Serveur/client</t>
  </si>
  <si>
    <t>Tests et configuration connectivités multijoueur (synchronisation temps réel)</t>
  </si>
  <si>
    <t>Design responsive( petit/grand écran)</t>
  </si>
  <si>
    <t>Implémentation du leaderboard (classement des joueurs)</t>
  </si>
  <si>
    <t>Implémentation du Factory Pattern pour les aspects des pièces</t>
  </si>
  <si>
    <t>Dans la page index.jsx : ajout du formulaire (signup, signin, signout)</t>
  </si>
  <si>
    <t>Implémentation du LobbyManager</t>
  </si>
  <si>
    <t>Implémentation du Controleur</t>
  </si>
  <si>
    <t>Implémentation du GameManager</t>
  </si>
  <si>
    <t xml:space="preserve">Développement de l'IA - Algorithme MCTS </t>
  </si>
  <si>
    <t>Créer la classe Board</t>
  </si>
  <si>
    <t>Créer la classe User/Player</t>
  </si>
  <si>
    <t>Créer la classe Move</t>
  </si>
  <si>
    <t>Créer la classe Piece</t>
  </si>
  <si>
    <t>Créer gameAction:executeAction, movePiece</t>
  </si>
  <si>
    <t>Créer la classe AIPlayer</t>
  </si>
  <si>
    <t>Créer la classe ObservedPiece/BeliefPiece</t>
  </si>
  <si>
    <t>Créer la classe Node et la classe InfoSet</t>
  </si>
  <si>
    <t>Créer la classe MCTS</t>
  </si>
  <si>
    <t>Communication entre le serveur et le client (envois/réceptions)</t>
  </si>
  <si>
    <t>Implémentation des options d'accessibilité (langue,contraste élevé,suppression animations)</t>
  </si>
  <si>
    <t>x</t>
  </si>
  <si>
    <t xml:space="preserve">Implémentation du système de tours </t>
  </si>
  <si>
    <t>Implémentation des règles du jeu (sans combat)</t>
  </si>
  <si>
    <t>Création de la base de données MySQL et de la table users</t>
  </si>
  <si>
    <t>Implémentation de la logique de connection de joueur (jeton)</t>
  </si>
  <si>
    <t>Choix du projet</t>
  </si>
  <si>
    <t>Choix de l'équipe</t>
  </si>
  <si>
    <t>Document de définition</t>
  </si>
  <si>
    <t>Document de conception</t>
  </si>
  <si>
    <t>Document de planification</t>
  </si>
  <si>
    <t>Diagramme de classes</t>
  </si>
  <si>
    <t>Diagramme de base de données</t>
  </si>
  <si>
    <t>Diagramme de cas d'usage</t>
  </si>
  <si>
    <t>Maquette</t>
  </si>
  <si>
    <t>Semaine E</t>
  </si>
  <si>
    <t>Eddy</t>
  </si>
  <si>
    <t>Charlotte</t>
  </si>
  <si>
    <t>Eddy/Charlotte</t>
  </si>
  <si>
    <t>Charlotte/Eddy</t>
  </si>
  <si>
    <t>Gestion des droits des usagers</t>
  </si>
  <si>
    <t>Gérer les droits administrateurs</t>
  </si>
  <si>
    <t>Mise en place de l’infrastructure serveur et base de données</t>
  </si>
  <si>
    <t>Setup de l’environnement frontend avec Node.js, Vite et Tailwind CSS</t>
  </si>
  <si>
    <t>Architecture backend PHP et mise en place du routing</t>
  </si>
  <si>
    <t>Implémentation du système d’authentification frontend-backend</t>
  </si>
  <si>
    <t>Gestion des rôles et permissions utilisateurs</t>
  </si>
  <si>
    <t>Structure principale de l’application React et navigation</t>
  </si>
  <si>
    <t>Création des composants UI de base</t>
  </si>
  <si>
    <t>Implémentation du backend du lobby</t>
  </si>
  <si>
    <t>Développement de l’interface lobby</t>
  </si>
  <si>
    <t>Système de création et gestion des parties</t>
  </si>
  <si>
    <t>Implémentation des managers et du contrôleur principal</t>
  </si>
  <si>
    <t>Développement des composants Board et Piece</t>
  </si>
  <si>
    <t>Implémentation du Factory Pattern pour les pièces</t>
  </si>
  <si>
    <t>Logique de mise en place initiale des pièces</t>
  </si>
  <si>
    <t>Implémentation de la logique de déplacement et validation</t>
  </si>
  <si>
    <t>Développement du système de combat automatisé</t>
  </si>
  <si>
    <t>Implémentation du système de tours</t>
  </si>
  <si>
    <t>Gestion du temps de jeu des joueurs</t>
  </si>
  <si>
    <t>Implémentation des conditions de fin de partie</t>
  </si>
  <si>
    <t>Gestion dynamique des contrôles selon l’état du jeu</t>
  </si>
  <si>
    <t>Développement du système de sauvegarde et restauration</t>
  </si>
  <si>
    <t>Implémentation du leaderboard et classement</t>
  </si>
  <si>
    <t>Modélisation avancée pour l’intelligence artificielle</t>
  </si>
  <si>
    <t>Implémentation du Belief State</t>
  </si>
  <si>
    <t>Implémentation de l’algorithme MCTS</t>
  </si>
  <si>
    <t>Développement des niveaux de difficulté de l’IA</t>
  </si>
  <si>
    <t>Communication temps réel serveur-client</t>
  </si>
  <si>
    <t>Implémentation du système de chat</t>
  </si>
  <si>
    <t>Optimisation responsive design</t>
  </si>
  <si>
    <t>Implémentation des options d’accessibilité</t>
  </si>
  <si>
    <t>Documentation du projet (planification, conception et description du projet)</t>
  </si>
  <si>
    <t>Haute</t>
  </si>
  <si>
    <t>Basse</t>
  </si>
  <si>
    <t>Moyenne</t>
  </si>
  <si>
    <t>Implémentation du composant game</t>
  </si>
  <si>
    <t>Temps total:</t>
  </si>
  <si>
    <t>des pertes de connexions aléatoires</t>
  </si>
  <si>
    <t>Plus long que prévu, créé plusieurs autres classes nécessaires</t>
  </si>
  <si>
    <t>Reste à créér la classe user et à mettre des choses dans la classe Player</t>
  </si>
  <si>
    <t>Créer le routage vers les differentes pages: index,lobby,game</t>
  </si>
  <si>
    <t>Créer la page main.jsx</t>
  </si>
  <si>
    <t>Tests: acces pages web:frontend et backend du client</t>
  </si>
  <si>
    <t>Créer IndexAction: signup, signin,signout</t>
  </si>
  <si>
    <t xml:space="preserve">Communication entre le Serveur et le Client (envois/réceptions): test  simple </t>
  </si>
  <si>
    <t>Création de toutes les tables</t>
  </si>
  <si>
    <t>Gerer les erreurs dans page index</t>
  </si>
  <si>
    <t>À tester avec le jeu, mais devrait marcher</t>
  </si>
  <si>
    <t>Connection avec une session_key unique</t>
  </si>
  <si>
    <t>Créer le composant : MainLayout : navbar conditionnelle, fond d'écran dynamique</t>
  </si>
  <si>
    <t>Ajout useState pour toggle entre login et register sur index.jsx</t>
  </si>
  <si>
    <t>Retirer font-family et intégration dans le CSS global</t>
  </si>
  <si>
    <t>GameAction complété pour envoi du board</t>
  </si>
  <si>
    <t>Ajout des boutons de pool: valider annuler</t>
  </si>
  <si>
    <t>Ajout Double-clic la même case → retour au pool</t>
  </si>
  <si>
    <t>Nouveau composant Panel avec notification et gameMessage</t>
  </si>
  <si>
    <t>Correction couleur button success + changement aspect boutons game.jsx</t>
  </si>
  <si>
    <t>Board vide en début de partie</t>
  </si>
  <si>
    <t>Ajout fonction deplacer piece entre pool et board</t>
  </si>
  <si>
    <t>Ajout fonction créer un random pool et l afficher</t>
  </si>
  <si>
    <t>Client/frontend/game.jsx  ajout grille + fonction cell selected</t>
  </si>
  <si>
    <t>Creation  du pool pour  phase de placement initial</t>
  </si>
  <si>
    <t>GameAction complété pour envoi du board initial</t>
  </si>
  <si>
    <t>Ajout fonction inversion pièce entre board et pool</t>
  </si>
  <si>
    <t>Créer la page lobby</t>
  </si>
  <si>
    <t>Mise à jour game.jsx en fonction des phases de jeu (statut récupéré  toutes les 1 secondes)</t>
  </si>
  <si>
    <t xml:space="preserve">Création de gameService.jsx pour centraliser les emvoi  API de GameAction </t>
  </si>
  <si>
    <t>Création d un component cell</t>
  </si>
  <si>
    <t>Création d un component loading</t>
  </si>
  <si>
    <t>Création d un component piece</t>
  </si>
  <si>
    <t>Régler l affichage du board selon la phase de jeu suite a mise en place des phases de jeu</t>
  </si>
  <si>
    <t>Ajout des assets des pieces dans dossier src</t>
  </si>
  <si>
    <t>Créer une page administration:gestion des utilisateurs</t>
  </si>
  <si>
    <t>Importation des svg en tant que Composant pour les pieces</t>
  </si>
  <si>
    <t>Créer la classe Piece/BeliefPiece</t>
  </si>
  <si>
    <t>Centrage + scale des svg</t>
  </si>
  <si>
    <t>Changer aspect des pieces du pool avec des components svg</t>
  </si>
  <si>
    <t>Ajout component Timer non full complete</t>
  </si>
  <si>
    <t>Ajout fonction transformation tableau api vers matrice React pour le Board</t>
  </si>
  <si>
    <t>Modifier makeBoard pour recevoir x,y,rank,player</t>
  </si>
  <si>
    <t>Ajout fonctions de drag drop dans usePlacement.js</t>
  </si>
  <si>
    <t>Ajout drag drop dans useCellClick.js</t>
  </si>
  <si>
    <t>Ajout drag drop dans cell.jsx</t>
  </si>
  <si>
    <t>AJout Drag drop dans game.jsx</t>
  </si>
  <si>
    <t>Ajout pieceCard + debut battle screen</t>
  </si>
  <si>
    <t>Modifier timer avec un timer local pour l affichage et compenser la latence reseau</t>
  </si>
  <si>
    <t xml:space="preserve">Mise a jour affichage suite à combat: ajout  battle.jsx </t>
  </si>
  <si>
    <t>Mise a jour board suite a un deplacement</t>
  </si>
  <si>
    <t>Ajout component TurnIndicator pour signifier le tour</t>
  </si>
  <si>
    <t>Ajout du Timer depuis api  (Compte à rebourd)</t>
  </si>
  <si>
    <t xml:space="preserve">Ajouter  end.jsx victoire ou defaite avec bouton recommencer </t>
  </si>
  <si>
    <t>Refactoriser game.jsx( redecouapge en differents components)</t>
  </si>
  <si>
    <t>Afficher le tour de jeu message au centre de l écran: Ajouter component YourTurn</t>
  </si>
  <si>
    <t>Implémentation des combats</t>
  </si>
  <si>
    <t xml:space="preserve"> </t>
  </si>
  <si>
    <t>Création du componant graveyard.jsx pour les CapturedPieces et LostPieces</t>
  </si>
  <si>
    <t>Afficher le tour de jeu au centre de l'écran</t>
  </si>
  <si>
    <t>Bloquer toutes les interactions si pas son tour dans game.jsx</t>
  </si>
  <si>
    <t>Ajout des compteurs de pieces dans les cimetieres en fonction des resultats de combat</t>
  </si>
  <si>
    <t xml:space="preserve">Ajouter le score de chaque joueur scores: component panel utilisé et customisé pour les scores </t>
  </si>
  <si>
    <t>Mise a jour useGameSync pour récupérer les scores depuis le serveur</t>
  </si>
  <si>
    <t>Fixer le problème de décalage du plateau pendant le combat</t>
  </si>
  <si>
    <t>Ajout de la page leaderboard :  aspect sans fetch</t>
  </si>
  <si>
    <t>Modifier frontend pour recuperer ordre du joueur (plus hardcodé dans le code)</t>
  </si>
  <si>
    <t>Sauvegarde de scores dans bd</t>
  </si>
  <si>
    <t>Requête leaderboard</t>
  </si>
  <si>
    <t xml:space="preserve">Problèmes de synchronisation pendant la pause des combats. </t>
  </si>
  <si>
    <t>Amélioré la façon de récupérer les mouvements des joueurs. Bloqué les mouvements après le combat avant e changement de tour. Refonte des updates des plateaux de jeu après les combats.</t>
  </si>
  <si>
    <t>Terminer les stratégies de préparation de l'AI</t>
  </si>
  <si>
    <t>Terminer les formules heuristiques d'évaluation des mouvements MCTS</t>
  </si>
  <si>
    <t>Terminer l'implémentation des BeliefStates (reveals après les combats)</t>
  </si>
  <si>
    <t>Refonte de la déterminization avant une itération du MCTS</t>
  </si>
  <si>
    <t>Implémentation du Belief State (aspect BeliefPieces, updates et déterminization de base)</t>
  </si>
  <si>
    <t>Implémentation de l'AI niveau facile</t>
  </si>
  <si>
    <t>Implémentation des priors des mouvements MCTS</t>
  </si>
  <si>
    <t>Implémentation de l'AI moyen et difficile</t>
  </si>
  <si>
    <t>Implémenter le MCTS de base</t>
  </si>
  <si>
    <t>À Faire</t>
  </si>
  <si>
    <t>Comment Faire</t>
  </si>
  <si>
    <t>Jouer contre un joueur</t>
  </si>
  <si>
    <t xml:space="preserve">Ajouter l'option dans le front end quand on commence une partie. Valider avec le back-end si ça fonctionne toujours </t>
  </si>
  <si>
    <t>Tout le monde</t>
  </si>
  <si>
    <t>Idée abandonnée  à la vue de l'aspect du jeu</t>
  </si>
  <si>
    <t>Mise a jour de la page classement depuis le serveur</t>
  </si>
  <si>
    <t>Fetch  des données  de la base de donnée du serveur depuis le client</t>
  </si>
  <si>
    <t>Enregistrer différentes  vidéos  de tutoriel, ajouter des commentaires , ajouter le tout dans une page dédiée sur le frontend client, permettre des options de controles de la video eventuellement</t>
  </si>
  <si>
    <t>Développement du système de sauvegarde et restauration des parties contre IA</t>
  </si>
  <si>
    <t>Sérialisation du Board, l'état AIPlayer (MCTS) et l'historique en JSON  dans la base de donnée MySQL. React : boutons Save/Load + composant liste des parties sauvegardées, restauration via useGameSync.</t>
  </si>
  <si>
    <t>Idée abandonnée:  le plateau  avec 40 pièces par joueur est trop dense pour être jouable sur un petit écran</t>
  </si>
  <si>
    <t>Cacher les composants non essentiels pour régler l'affichage de la page.</t>
  </si>
  <si>
    <t>Créer une page accessible uniquement aux admins qui affiche la liste des utilisateurs avec leurs infos. Ajouter des boutons pour bannir, promouvoir en admin ou supprimer un compte. 
Le serveur donne des droits aux comptes utilisateurs,ajouter un système de log.</t>
  </si>
  <si>
    <t>Ajouter les priors, modifier les fonctions heuristiques d'évaluation et de simulation, ajouter les fonctions de setup de pièces, terminer les BeliefStates</t>
  </si>
  <si>
    <t>Peaufiner les méthodes de fin de partie</t>
  </si>
  <si>
    <t>Raffiner le modèle AI</t>
  </si>
  <si>
    <t>Ajouter un tutoriel</t>
  </si>
  <si>
    <t>Refonte des classes (avec MCTS) dû à une mauvaise compréhension des responsabilités de chaque composant. A pris beaucoup de temps, mais l'algorithme est plus rapide et stable</t>
  </si>
  <si>
    <t>Créer table pour les chats entre joueurs dans la base de données</t>
  </si>
  <si>
    <t>Créer une fonction abandonner et set la partie à perdue</t>
  </si>
  <si>
    <t>Implémentation du Factory Pattern pour les aspects des pièces(couleur + divers apects)</t>
  </si>
  <si>
    <t>Ajouter du bouton surrender en phase "playing"</t>
  </si>
  <si>
    <t>Correction disposition page game suite ajout des boutons</t>
  </si>
  <si>
    <t>Modification bouton nouveau en 2 boutons: vs humain et vs AI</t>
  </si>
  <si>
    <t xml:space="preserve">Modifier component Timer pour prendre en compte PAUSE </t>
  </si>
  <si>
    <t>Créer une page tutoriel</t>
  </si>
  <si>
    <t>Créer un componant PieceGallery.jsx qui affiche :piece , rank, type + description</t>
  </si>
  <si>
    <t>Création et intégration des vidéos dans le tutoriel</t>
  </si>
  <si>
    <t>Créer un systeme d'onglets dans le tutoriel</t>
  </si>
  <si>
    <t>Faire défiler le texte dans le tutoriel avec css keyframe</t>
  </si>
  <si>
    <t>Ajouter dans le backend /lobby fetch vers api pour demander mode de jeu</t>
  </si>
  <si>
    <t>Mettre le frontend en phase waiting juste apres envoi placement initial</t>
  </si>
  <si>
    <t>Classement fetch données depuis le serveur classe les résultats</t>
  </si>
  <si>
    <t>Ajout du bouton pause qui toogle avec resume</t>
  </si>
  <si>
    <t>Créer une page administration:gestion des utilisateurs: mettre des droits  , ajouter suprimer des utilisateurs</t>
  </si>
  <si>
    <t>Répartir le classement en 2 sections : vs AI et vs humain</t>
  </si>
  <si>
    <t>Ajouter un bouton sauvegarder</t>
  </si>
  <si>
    <t>Ajout action sauvegarder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</si>
</sst>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rgb="FF000000"/>
      <name val="Calibri"/>
      <family val="2"/>
      <scheme val="minor"/>
    </font>
    <font>
      <sz val="36"/>
      <color rgb="FF000000"/>
      <name val="Calibri"/>
      <family val="2"/>
      <scheme val="minor"/>
    </font>
    <font>
      <sz val="24"/>
      <color rgb="FFFFFFFF"/>
      <name val="Calibri"/>
      <family val="2"/>
      <scheme val="minor"/>
    </font>
    <font>
      <sz val="16"/>
      <color rgb="FFFFFFFF"/>
      <name val="Calibri"/>
      <family val="2"/>
      <scheme val="minor"/>
    </font>
    <font>
      <sz val="8"/>
      <color rgb="FF000000"/>
      <name val="Calibri"/>
      <family val="2"/>
      <scheme val="minor"/>
    </font>
    <font>
      <sz val="16"/>
      <color rgb="FF000000"/>
      <name val="Calibri"/>
      <family val="2"/>
      <scheme val="minor"/>
    </font>
  </fonts>
  <fills count="15">
    <fill>
      <patternFill patternType="none"/>
    </fill>
    <fill>
      <patternFill patternType="gray125"/>
    </fill>
    <fill>
      <patternFill patternType="solid">
        <fgColor rgb="FF000000"/>
        <bgColor indexed="64"/>
      </patternFill>
    </fill>
    <fill>
      <patternFill patternType="solid">
        <fgColor rgb="FFE2EFD9"/>
        <bgColor indexed="64"/>
      </patternFill>
    </fill>
    <fill>
      <patternFill patternType="solid">
        <fgColor rgb="FFD6DCE4"/>
        <bgColor indexed="64"/>
      </patternFill>
    </fill>
    <fill>
      <patternFill patternType="solid">
        <fgColor rgb="FFFFF2CB"/>
        <bgColor indexed="64"/>
      </patternFill>
    </fill>
    <fill>
      <patternFill patternType="solid">
        <fgColor rgb="FF92D050"/>
        <bgColor indexed="64"/>
      </patternFill>
    </fill>
    <fill>
      <patternFill patternType="solid">
        <fgColor rgb="FFFFFF00"/>
        <bgColor indexed="64"/>
      </patternFill>
    </fill>
    <fill>
      <patternFill patternType="solid">
        <fgColor theme="3" tint="0.79998168889431442"/>
        <bgColor indexed="64"/>
      </patternFill>
    </fill>
    <fill>
      <patternFill patternType="solid">
        <fgColor rgb="FFFFC000"/>
        <bgColor indexed="64"/>
      </patternFill>
    </fill>
    <fill>
      <patternFill patternType="solid">
        <fgColor theme="1"/>
        <bgColor indexed="64"/>
      </patternFill>
    </fill>
    <fill>
      <patternFill patternType="solid">
        <fgColor theme="9" tint="0.79998168889431442"/>
        <bgColor indexed="64"/>
      </patternFill>
    </fill>
    <fill>
      <patternFill patternType="solid">
        <fgColor theme="0"/>
        <bgColor indexed="64"/>
      </patternFill>
    </fill>
    <fill>
      <patternFill patternType="solid">
        <fgColor theme="0" tint="-4.9989318521683403E-2"/>
        <bgColor indexed="64"/>
      </patternFill>
    </fill>
    <fill>
      <patternFill patternType="solid">
        <fgColor theme="2" tint="-0.89999084444715716"/>
        <bgColor indexed="64"/>
      </patternFill>
    </fill>
  </fills>
  <borders count="38">
    <border>
      <left/>
      <right/>
      <top/>
      <bottom/>
      <diagonal/>
    </border>
    <border>
      <left style="thick">
        <color rgb="FF000000"/>
      </left>
      <right style="thick">
        <color rgb="FF000000"/>
      </right>
      <top/>
      <bottom/>
      <diagonal/>
    </border>
    <border>
      <left/>
      <right style="thick">
        <color rgb="FF000000"/>
      </right>
      <top/>
      <bottom/>
      <diagonal/>
    </border>
    <border>
      <left style="thick">
        <color rgb="FF000000"/>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ck">
        <color rgb="FF000000"/>
      </right>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medium">
        <color rgb="FF000000"/>
      </left>
      <right/>
      <top/>
      <bottom style="medium">
        <color indexed="64"/>
      </bottom>
      <diagonal/>
    </border>
    <border>
      <left style="medium">
        <color rgb="FF000000"/>
      </left>
      <right style="thick">
        <color rgb="FF000000"/>
      </right>
      <top/>
      <bottom style="medium">
        <color indexed="64"/>
      </bottom>
      <diagonal/>
    </border>
    <border>
      <left style="thick">
        <color rgb="FF000000"/>
      </left>
      <right/>
      <top/>
      <bottom style="medium">
        <color indexed="64"/>
      </bottom>
      <diagonal/>
    </border>
    <border>
      <left/>
      <right/>
      <top/>
      <bottom style="medium">
        <color indexed="64"/>
      </bottom>
      <diagonal/>
    </border>
    <border>
      <left/>
      <right style="medium">
        <color rgb="FF000000"/>
      </right>
      <top/>
      <bottom style="medium">
        <color indexed="64"/>
      </bottom>
      <diagonal/>
    </border>
    <border>
      <left style="medium">
        <color indexed="64"/>
      </left>
      <right style="thick">
        <color rgb="FF000000"/>
      </right>
      <top style="medium">
        <color indexed="64"/>
      </top>
      <bottom/>
      <diagonal/>
    </border>
    <border>
      <left style="thick">
        <color rgb="FF000000"/>
      </left>
      <right style="thick">
        <color rgb="FF000000"/>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ck">
        <color rgb="FF000000"/>
      </right>
      <top/>
      <bottom/>
      <diagonal/>
    </border>
    <border>
      <left/>
      <right style="medium">
        <color indexed="64"/>
      </right>
      <top/>
      <bottom/>
      <diagonal/>
    </border>
    <border>
      <left style="medium">
        <color indexed="64"/>
      </left>
      <right style="thick">
        <color rgb="FF000000"/>
      </right>
      <top/>
      <bottom style="medium">
        <color indexed="64"/>
      </bottom>
      <diagonal/>
    </border>
    <border>
      <left style="thick">
        <color rgb="FF000000"/>
      </left>
      <right style="thick">
        <color rgb="FF000000"/>
      </right>
      <top/>
      <bottom style="medium">
        <color indexed="64"/>
      </bottom>
      <diagonal/>
    </border>
    <border>
      <left/>
      <right style="medium">
        <color indexed="64"/>
      </right>
      <top/>
      <bottom style="medium">
        <color indexed="64"/>
      </bottom>
      <diagonal/>
    </border>
  </borders>
  <cellStyleXfs count="1">
    <xf numFmtId="0" fontId="0" fillId="0" borderId="0"/>
  </cellStyleXfs>
  <cellXfs count="100">
    <xf numFmtId="0" fontId="0" fillId="0" borderId="0" xfId="0"/>
    <xf numFmtId="0" fontId="1" fillId="0" borderId="0" xfId="0" applyFont="1"/>
    <xf numFmtId="0" fontId="2" fillId="2" borderId="1" xfId="0" applyFont="1" applyFill="1" applyBorder="1"/>
    <xf numFmtId="0" fontId="0" fillId="0" borderId="1" xfId="0" applyBorder="1"/>
    <xf numFmtId="0" fontId="3" fillId="2" borderId="0" xfId="0" applyFont="1" applyFill="1"/>
    <xf numFmtId="0" fontId="0" fillId="0" borderId="2" xfId="0" applyBorder="1"/>
    <xf numFmtId="0" fontId="3" fillId="2" borderId="2" xfId="0" applyFont="1" applyFill="1" applyBorder="1"/>
    <xf numFmtId="0" fontId="0" fillId="0" borderId="3" xfId="0" applyBorder="1"/>
    <xf numFmtId="0" fontId="3" fillId="2" borderId="1" xfId="0" applyFont="1" applyFill="1" applyBorder="1"/>
    <xf numFmtId="0" fontId="0" fillId="0" borderId="4" xfId="0" applyBorder="1"/>
    <xf numFmtId="0" fontId="0" fillId="0" borderId="5" xfId="0" applyBorder="1"/>
    <xf numFmtId="0" fontId="0" fillId="0" borderId="7" xfId="0" applyBorder="1"/>
    <xf numFmtId="0" fontId="0" fillId="0" borderId="8" xfId="0" applyBorder="1"/>
    <xf numFmtId="0" fontId="0" fillId="0" borderId="9" xfId="0" applyBorder="1"/>
    <xf numFmtId="9" fontId="0" fillId="0" borderId="4" xfId="0" applyNumberFormat="1" applyBorder="1"/>
    <xf numFmtId="9" fontId="0" fillId="0" borderId="0" xfId="0" applyNumberFormat="1"/>
    <xf numFmtId="0" fontId="0" fillId="3" borderId="11" xfId="0" applyFill="1" applyBorder="1"/>
    <xf numFmtId="9" fontId="0" fillId="3" borderId="4" xfId="0" applyNumberFormat="1" applyFill="1" applyBorder="1"/>
    <xf numFmtId="0" fontId="0" fillId="3" borderId="5" xfId="0" applyFill="1" applyBorder="1"/>
    <xf numFmtId="0" fontId="0" fillId="3" borderId="10" xfId="0" applyFill="1" applyBorder="1"/>
    <xf numFmtId="9" fontId="0" fillId="3" borderId="0" xfId="0" applyNumberFormat="1" applyFill="1"/>
    <xf numFmtId="0" fontId="0" fillId="3" borderId="7" xfId="0" applyFill="1" applyBorder="1"/>
    <xf numFmtId="0" fontId="0" fillId="3" borderId="0" xfId="0" applyFill="1"/>
    <xf numFmtId="0" fontId="0" fillId="3" borderId="11" xfId="0" applyFill="1"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1" xfId="0" applyBorder="1" applyAlignment="1">
      <alignment horizontal="center"/>
    </xf>
    <xf numFmtId="0" fontId="0" fillId="3" borderId="10" xfId="0" applyFill="1" applyBorder="1" applyAlignment="1">
      <alignment horizontal="center"/>
    </xf>
    <xf numFmtId="0" fontId="0" fillId="0" borderId="13" xfId="0" applyBorder="1"/>
    <xf numFmtId="0" fontId="0" fillId="0" borderId="14" xfId="0" applyBorder="1"/>
    <xf numFmtId="0" fontId="0" fillId="0" borderId="15" xfId="0" applyBorder="1"/>
    <xf numFmtId="0" fontId="0" fillId="0" borderId="0" xfId="0" applyAlignment="1">
      <alignment horizontal="center"/>
    </xf>
    <xf numFmtId="0" fontId="0" fillId="0" borderId="16" xfId="0" applyBorder="1" applyAlignment="1">
      <alignment horizontal="right"/>
    </xf>
    <xf numFmtId="0" fontId="0" fillId="0" borderId="17" xfId="0" applyBorder="1"/>
    <xf numFmtId="0" fontId="0" fillId="3" borderId="12" xfId="0" applyFill="1" applyBorder="1" applyAlignment="1">
      <alignment horizontal="center"/>
    </xf>
    <xf numFmtId="9" fontId="0" fillId="3" borderId="8" xfId="0" applyNumberFormat="1" applyFill="1" applyBorder="1"/>
    <xf numFmtId="0" fontId="0" fillId="3" borderId="8" xfId="0" applyFill="1" applyBorder="1"/>
    <xf numFmtId="9" fontId="0" fillId="0" borderId="8" xfId="0" applyNumberFormat="1" applyBorder="1"/>
    <xf numFmtId="0" fontId="0" fillId="3" borderId="12" xfId="0" applyFill="1" applyBorder="1"/>
    <xf numFmtId="0" fontId="0" fillId="0" borderId="5" xfId="0" applyBorder="1" applyAlignment="1">
      <alignment wrapText="1"/>
    </xf>
    <xf numFmtId="0" fontId="0" fillId="0" borderId="7" xfId="0" applyBorder="1" applyAlignment="1">
      <alignment wrapText="1"/>
    </xf>
    <xf numFmtId="0" fontId="0" fillId="0" borderId="4" xfId="0" applyBorder="1" applyAlignment="1">
      <alignment horizontal="center"/>
    </xf>
    <xf numFmtId="0" fontId="5" fillId="4" borderId="21" xfId="0" applyFont="1" applyFill="1" applyBorder="1"/>
    <xf numFmtId="16" fontId="5" fillId="4" borderId="22" xfId="0" applyNumberFormat="1" applyFont="1" applyFill="1" applyBorder="1" applyAlignment="1">
      <alignment horizontal="center" vertical="center"/>
    </xf>
    <xf numFmtId="0" fontId="5" fillId="4" borderId="23" xfId="0" applyFont="1" applyFill="1" applyBorder="1"/>
    <xf numFmtId="0" fontId="5" fillId="4" borderId="22" xfId="0" applyFont="1" applyFill="1" applyBorder="1"/>
    <xf numFmtId="0" fontId="0" fillId="0" borderId="10" xfId="0" applyBorder="1" applyAlignment="1">
      <alignment wrapText="1"/>
    </xf>
    <xf numFmtId="0" fontId="0" fillId="0" borderId="14" xfId="0" applyBorder="1" applyAlignment="1">
      <alignment horizontal="left"/>
    </xf>
    <xf numFmtId="0" fontId="0" fillId="6" borderId="14" xfId="0" applyFill="1" applyBorder="1"/>
    <xf numFmtId="0" fontId="0" fillId="7" borderId="10" xfId="0" applyFill="1" applyBorder="1"/>
    <xf numFmtId="0" fontId="0" fillId="7" borderId="14" xfId="0" applyFill="1" applyBorder="1"/>
    <xf numFmtId="0" fontId="0" fillId="6" borderId="13" xfId="0" applyFill="1" applyBorder="1"/>
    <xf numFmtId="0" fontId="0" fillId="8" borderId="14" xfId="0" applyFill="1" applyBorder="1"/>
    <xf numFmtId="0" fontId="0" fillId="8" borderId="10" xfId="0" applyFill="1" applyBorder="1"/>
    <xf numFmtId="0" fontId="0" fillId="9" borderId="10" xfId="0" applyFill="1" applyBorder="1"/>
    <xf numFmtId="0" fontId="0" fillId="9" borderId="14" xfId="0" applyFill="1" applyBorder="1"/>
    <xf numFmtId="0" fontId="0" fillId="9" borderId="12" xfId="0" applyFill="1" applyBorder="1"/>
    <xf numFmtId="0" fontId="0" fillId="9" borderId="15" xfId="0" applyFill="1" applyBorder="1"/>
    <xf numFmtId="0" fontId="0" fillId="0" borderId="6" xfId="0" applyBorder="1"/>
    <xf numFmtId="0" fontId="5" fillId="4" borderId="23" xfId="0" applyFont="1" applyFill="1" applyBorder="1" applyAlignment="1">
      <alignment horizontal="center"/>
    </xf>
    <xf numFmtId="0" fontId="5" fillId="4" borderId="22" xfId="0" applyFont="1" applyFill="1" applyBorder="1" applyAlignment="1">
      <alignment horizontal="center"/>
    </xf>
    <xf numFmtId="0" fontId="0" fillId="0" borderId="0" xfId="0" applyAlignment="1">
      <alignment wrapText="1"/>
    </xf>
    <xf numFmtId="0" fontId="0" fillId="0" borderId="1" xfId="0" applyBorder="1" applyAlignment="1">
      <alignment wrapText="1"/>
    </xf>
    <xf numFmtId="0" fontId="3" fillId="2" borderId="1" xfId="0" applyFont="1" applyFill="1" applyBorder="1" applyAlignment="1">
      <alignment wrapText="1"/>
    </xf>
    <xf numFmtId="0" fontId="0" fillId="0" borderId="25" xfId="0" applyBorder="1"/>
    <xf numFmtId="0" fontId="0" fillId="0" borderId="26" xfId="0" applyBorder="1"/>
    <xf numFmtId="0" fontId="0" fillId="0" borderId="24" xfId="0" applyBorder="1" applyAlignment="1">
      <alignment horizontal="center"/>
    </xf>
    <xf numFmtId="0" fontId="0" fillId="0" borderId="27" xfId="0" applyBorder="1"/>
    <xf numFmtId="0" fontId="0" fillId="0" borderId="27" xfId="0" applyBorder="1" applyAlignment="1">
      <alignment horizontal="center"/>
    </xf>
    <xf numFmtId="0" fontId="0" fillId="0" borderId="28" xfId="0" applyBorder="1"/>
    <xf numFmtId="0" fontId="0" fillId="0" borderId="29" xfId="0" applyBorder="1"/>
    <xf numFmtId="0" fontId="0" fillId="0" borderId="30" xfId="0" applyBorder="1" applyAlignment="1">
      <alignment wrapText="1"/>
    </xf>
    <xf numFmtId="0" fontId="0" fillId="0" borderId="31" xfId="0" applyBorder="1"/>
    <xf numFmtId="0" fontId="0" fillId="0" borderId="32" xfId="0" applyBorder="1"/>
    <xf numFmtId="0" fontId="0" fillId="0" borderId="33" xfId="0" applyBorder="1"/>
    <xf numFmtId="0" fontId="0" fillId="0" borderId="0" xfId="0" applyBorder="1"/>
    <xf numFmtId="0" fontId="0" fillId="0" borderId="34" xfId="0" applyBorder="1"/>
    <xf numFmtId="0" fontId="0" fillId="0" borderId="35" xfId="0" applyBorder="1"/>
    <xf numFmtId="0" fontId="0" fillId="0" borderId="36" xfId="0" applyBorder="1" applyAlignment="1">
      <alignment wrapText="1"/>
    </xf>
    <xf numFmtId="0" fontId="0" fillId="10" borderId="27" xfId="0" applyFill="1" applyBorder="1"/>
    <xf numFmtId="0" fontId="0" fillId="10" borderId="37" xfId="0" applyFill="1" applyBorder="1"/>
    <xf numFmtId="0" fontId="0" fillId="10" borderId="0" xfId="0" applyFill="1" applyAlignment="1">
      <alignment horizontal="center"/>
    </xf>
    <xf numFmtId="0" fontId="0" fillId="0" borderId="0" xfId="0" applyBorder="1" applyAlignment="1">
      <alignment horizontal="center"/>
    </xf>
    <xf numFmtId="0" fontId="0" fillId="11" borderId="14" xfId="0" applyFill="1" applyBorder="1"/>
    <xf numFmtId="0" fontId="0" fillId="11" borderId="33" xfId="0" applyFill="1" applyBorder="1"/>
    <xf numFmtId="0" fontId="0" fillId="11" borderId="1" xfId="0" applyFill="1" applyBorder="1" applyAlignment="1">
      <alignment wrapText="1"/>
    </xf>
    <xf numFmtId="0" fontId="0" fillId="12" borderId="14" xfId="0" applyFill="1" applyBorder="1"/>
    <xf numFmtId="0" fontId="0" fillId="13" borderId="14" xfId="0" applyFill="1" applyBorder="1"/>
    <xf numFmtId="0" fontId="0" fillId="14" borderId="14" xfId="0" applyFill="1" applyBorder="1" applyAlignment="1">
      <alignment wrapText="1"/>
    </xf>
    <xf numFmtId="0" fontId="1" fillId="5" borderId="16" xfId="0" applyFont="1" applyFill="1" applyBorder="1" applyAlignment="1">
      <alignment horizontal="center"/>
    </xf>
    <xf numFmtId="0" fontId="1" fillId="5" borderId="20" xfId="0" applyFont="1" applyFill="1" applyBorder="1" applyAlignment="1">
      <alignment horizontal="center"/>
    </xf>
    <xf numFmtId="0" fontId="1" fillId="5" borderId="17" xfId="0" applyFont="1" applyFill="1" applyBorder="1" applyAlignment="1">
      <alignment horizontal="center"/>
    </xf>
    <xf numFmtId="0" fontId="5" fillId="4" borderId="18" xfId="0" applyFont="1" applyFill="1" applyBorder="1" applyAlignment="1">
      <alignment horizontal="center" vertical="center"/>
    </xf>
    <xf numFmtId="0" fontId="0" fillId="4" borderId="19" xfId="0" applyFill="1" applyBorder="1" applyAlignment="1">
      <alignment horizontal="center" vertical="center"/>
    </xf>
    <xf numFmtId="0" fontId="5" fillId="4" borderId="13" xfId="0" applyFont="1" applyFill="1" applyBorder="1" applyAlignment="1">
      <alignment horizontal="center" vertical="center"/>
    </xf>
    <xf numFmtId="0" fontId="0" fillId="4" borderId="15" xfId="0" applyFill="1" applyBorder="1" applyAlignment="1">
      <alignment horizontal="center" vertical="center"/>
    </xf>
    <xf numFmtId="0" fontId="5" fillId="4" borderId="22" xfId="0" applyFont="1" applyFill="1" applyBorder="1" applyAlignment="1">
      <alignment horizontal="center" vertical="center"/>
    </xf>
    <xf numFmtId="0" fontId="5" fillId="4" borderId="23" xfId="0" applyFont="1" applyFill="1" applyBorder="1" applyAlignment="1">
      <alignment horizontal="center" vertical="center"/>
    </xf>
    <xf numFmtId="0" fontId="1" fillId="5" borderId="10" xfId="0" applyFont="1" applyFill="1" applyBorder="1" applyAlignment="1">
      <alignment horizontal="center"/>
    </xf>
    <xf numFmtId="0" fontId="1" fillId="5" borderId="0" xfId="0" applyFont="1" applyFill="1" applyAlignment="1">
      <alignment horizontal="center"/>
    </xf>
  </cellXfs>
  <cellStyles count="1">
    <cellStyle name="Normal" xfId="0" builtinId="0"/>
  </cellStyles>
  <dxfs count="52">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patternFill>
          <bgColor rgb="FFFCFDCF"/>
        </patternFill>
      </fill>
    </dxf>
    <dxf>
      <fill>
        <patternFill>
          <bgColor rgb="FFCCFFFF"/>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rgb="FFFCFDCF"/>
        </patternFill>
      </fill>
    </dxf>
    <dxf>
      <fill>
        <patternFill>
          <bgColor rgb="FFCCFFFF"/>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CCFFFF"/>
      <color rgb="FFFCFD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98864-B157-464B-9C9C-D10C2E7AC6B8}">
  <sheetPr>
    <tabColor rgb="FF7030A0"/>
  </sheetPr>
  <dimension ref="B1:E39"/>
  <sheetViews>
    <sheetView topLeftCell="A4" zoomScale="85" zoomScaleNormal="85" workbookViewId="0">
      <selection activeCell="B33" sqref="B33"/>
    </sheetView>
  </sheetViews>
  <sheetFormatPr baseColWidth="10" defaultRowHeight="14.4" x14ac:dyDescent="0.3"/>
  <cols>
    <col min="1" max="1" width="3.21875" customWidth="1"/>
    <col min="2" max="2" width="116" customWidth="1"/>
    <col min="3" max="3" width="21.44140625" customWidth="1"/>
    <col min="4" max="4" width="15.77734375" customWidth="1"/>
    <col min="5" max="5" width="42.77734375" customWidth="1"/>
  </cols>
  <sheetData>
    <row r="1" spans="2:5" ht="44.85" customHeight="1" x14ac:dyDescent="0.85">
      <c r="B1" s="1" t="s">
        <v>0</v>
      </c>
    </row>
    <row r="3" spans="2:5" x14ac:dyDescent="0.3">
      <c r="B3" t="s">
        <v>18</v>
      </c>
    </row>
    <row r="5" spans="2:5" ht="46.95" customHeight="1" thickBot="1" x14ac:dyDescent="0.65">
      <c r="B5" s="2" t="s">
        <v>1</v>
      </c>
      <c r="C5" s="2" t="s">
        <v>2</v>
      </c>
      <c r="D5" s="2" t="s">
        <v>4</v>
      </c>
      <c r="E5" s="2" t="s">
        <v>5</v>
      </c>
    </row>
    <row r="6" spans="2:5" x14ac:dyDescent="0.3">
      <c r="B6" s="48" t="s">
        <v>138</v>
      </c>
      <c r="C6" s="51" t="s">
        <v>3</v>
      </c>
      <c r="D6" s="28" t="s">
        <v>139</v>
      </c>
      <c r="E6" s="10">
        <v>10</v>
      </c>
    </row>
    <row r="7" spans="2:5" x14ac:dyDescent="0.3">
      <c r="B7" s="52" t="s">
        <v>108</v>
      </c>
      <c r="C7" s="52" t="s">
        <v>6</v>
      </c>
      <c r="D7" s="29" t="s">
        <v>139</v>
      </c>
      <c r="E7" s="11">
        <v>4</v>
      </c>
    </row>
    <row r="8" spans="2:5" x14ac:dyDescent="0.3">
      <c r="B8" s="53" t="s">
        <v>109</v>
      </c>
      <c r="C8" s="52" t="s">
        <v>6</v>
      </c>
      <c r="D8" s="29" t="s">
        <v>139</v>
      </c>
      <c r="E8" s="11">
        <v>4</v>
      </c>
    </row>
    <row r="9" spans="2:5" x14ac:dyDescent="0.3">
      <c r="B9" s="53" t="s">
        <v>110</v>
      </c>
      <c r="C9" s="52" t="s">
        <v>6</v>
      </c>
      <c r="D9" s="29" t="s">
        <v>139</v>
      </c>
      <c r="E9" s="11">
        <v>2</v>
      </c>
    </row>
    <row r="10" spans="2:5" x14ac:dyDescent="0.3">
      <c r="B10" s="53" t="s">
        <v>111</v>
      </c>
      <c r="C10" s="52" t="s">
        <v>6</v>
      </c>
      <c r="D10" s="29" t="s">
        <v>139</v>
      </c>
      <c r="E10" s="11">
        <v>1</v>
      </c>
    </row>
    <row r="11" spans="2:5" x14ac:dyDescent="0.3">
      <c r="B11" s="53" t="s">
        <v>113</v>
      </c>
      <c r="C11" s="52" t="s">
        <v>6</v>
      </c>
      <c r="D11" s="29" t="s">
        <v>139</v>
      </c>
      <c r="E11" s="11">
        <v>1</v>
      </c>
    </row>
    <row r="12" spans="2:5" x14ac:dyDescent="0.3">
      <c r="B12" s="53" t="s">
        <v>114</v>
      </c>
      <c r="C12" s="52" t="s">
        <v>6</v>
      </c>
      <c r="D12" s="29" t="s">
        <v>139</v>
      </c>
      <c r="E12" s="11">
        <v>3</v>
      </c>
    </row>
    <row r="13" spans="2:5" x14ac:dyDescent="0.3">
      <c r="B13" s="53" t="s">
        <v>115</v>
      </c>
      <c r="C13" s="52" t="s">
        <v>6</v>
      </c>
      <c r="D13" s="29" t="s">
        <v>139</v>
      </c>
      <c r="E13" s="11">
        <v>3</v>
      </c>
    </row>
    <row r="14" spans="2:5" x14ac:dyDescent="0.3">
      <c r="B14" s="53" t="s">
        <v>142</v>
      </c>
      <c r="C14" s="52" t="s">
        <v>6</v>
      </c>
      <c r="D14" s="29" t="s">
        <v>139</v>
      </c>
      <c r="E14" s="11">
        <v>2</v>
      </c>
    </row>
    <row r="15" spans="2:5" x14ac:dyDescent="0.3">
      <c r="B15" s="53" t="s">
        <v>118</v>
      </c>
      <c r="C15" s="52" t="s">
        <v>6</v>
      </c>
      <c r="D15" s="29" t="s">
        <v>139</v>
      </c>
      <c r="E15" s="11">
        <v>4</v>
      </c>
    </row>
    <row r="16" spans="2:5" x14ac:dyDescent="0.3">
      <c r="B16" s="53" t="s">
        <v>119</v>
      </c>
      <c r="C16" s="52" t="s">
        <v>6</v>
      </c>
      <c r="D16" s="29" t="s">
        <v>139</v>
      </c>
      <c r="E16" s="11">
        <v>1</v>
      </c>
    </row>
    <row r="17" spans="2:5" x14ac:dyDescent="0.3">
      <c r="B17" s="53" t="s">
        <v>121</v>
      </c>
      <c r="C17" s="52" t="s">
        <v>6</v>
      </c>
      <c r="D17" s="29" t="s">
        <v>139</v>
      </c>
      <c r="E17" s="11">
        <v>2</v>
      </c>
    </row>
    <row r="18" spans="2:5" x14ac:dyDescent="0.3">
      <c r="B18" s="53" t="s">
        <v>127</v>
      </c>
      <c r="C18" s="52" t="s">
        <v>6</v>
      </c>
      <c r="D18" s="29" t="s">
        <v>139</v>
      </c>
      <c r="E18" s="11">
        <v>1.5</v>
      </c>
    </row>
    <row r="19" spans="2:5" x14ac:dyDescent="0.3">
      <c r="B19" s="49" t="s">
        <v>116</v>
      </c>
      <c r="C19" s="50" t="s">
        <v>16</v>
      </c>
      <c r="D19" s="29" t="s">
        <v>139</v>
      </c>
      <c r="E19" s="11">
        <v>3</v>
      </c>
    </row>
    <row r="20" spans="2:5" x14ac:dyDescent="0.3">
      <c r="B20" s="49" t="s">
        <v>117</v>
      </c>
      <c r="C20" s="50" t="s">
        <v>16</v>
      </c>
      <c r="D20" s="29" t="s">
        <v>141</v>
      </c>
      <c r="E20" s="11">
        <v>4</v>
      </c>
    </row>
    <row r="21" spans="2:5" x14ac:dyDescent="0.3">
      <c r="B21" s="49" t="s">
        <v>122</v>
      </c>
      <c r="C21" s="50" t="s">
        <v>16</v>
      </c>
      <c r="D21" s="29" t="s">
        <v>139</v>
      </c>
      <c r="E21" s="11">
        <v>3</v>
      </c>
    </row>
    <row r="22" spans="2:5" x14ac:dyDescent="0.3">
      <c r="B22" s="49" t="s">
        <v>123</v>
      </c>
      <c r="C22" s="50" t="s">
        <v>16</v>
      </c>
      <c r="D22" s="29" t="s">
        <v>139</v>
      </c>
      <c r="E22" s="11">
        <v>2</v>
      </c>
    </row>
    <row r="23" spans="2:5" x14ac:dyDescent="0.3">
      <c r="B23" s="49" t="s">
        <v>124</v>
      </c>
      <c r="C23" s="50" t="s">
        <v>16</v>
      </c>
      <c r="D23" s="29" t="s">
        <v>139</v>
      </c>
      <c r="E23" s="11">
        <v>4</v>
      </c>
    </row>
    <row r="24" spans="2:5" x14ac:dyDescent="0.3">
      <c r="B24" s="49" t="s">
        <v>126</v>
      </c>
      <c r="C24" s="50" t="s">
        <v>16</v>
      </c>
      <c r="D24" s="29" t="s">
        <v>141</v>
      </c>
      <c r="E24" s="11">
        <v>1.5</v>
      </c>
    </row>
    <row r="25" spans="2:5" x14ac:dyDescent="0.3">
      <c r="B25" s="49" t="s">
        <v>130</v>
      </c>
      <c r="C25" s="50" t="s">
        <v>16</v>
      </c>
      <c r="D25" s="29" t="s">
        <v>139</v>
      </c>
      <c r="E25" s="11">
        <v>5</v>
      </c>
    </row>
    <row r="26" spans="2:5" x14ac:dyDescent="0.3">
      <c r="B26" s="49" t="s">
        <v>131</v>
      </c>
      <c r="C26" s="50" t="s">
        <v>16</v>
      </c>
      <c r="D26" s="29" t="s">
        <v>141</v>
      </c>
      <c r="E26" s="11">
        <v>3</v>
      </c>
    </row>
    <row r="27" spans="2:5" x14ac:dyDescent="0.3">
      <c r="B27" s="49" t="s">
        <v>132</v>
      </c>
      <c r="C27" s="50" t="s">
        <v>16</v>
      </c>
      <c r="D27" s="29" t="s">
        <v>139</v>
      </c>
      <c r="E27" s="11">
        <v>7</v>
      </c>
    </row>
    <row r="28" spans="2:5" x14ac:dyDescent="0.3">
      <c r="B28" s="54" t="s">
        <v>125</v>
      </c>
      <c r="C28" s="55" t="s">
        <v>17</v>
      </c>
      <c r="D28" s="29" t="s">
        <v>140</v>
      </c>
      <c r="E28" s="11">
        <v>1</v>
      </c>
    </row>
    <row r="29" spans="2:5" x14ac:dyDescent="0.3">
      <c r="B29" s="54" t="s">
        <v>128</v>
      </c>
      <c r="C29" s="55" t="s">
        <v>17</v>
      </c>
      <c r="D29" s="29" t="s">
        <v>141</v>
      </c>
      <c r="E29" s="11">
        <v>3.5</v>
      </c>
    </row>
    <row r="30" spans="2:5" x14ac:dyDescent="0.3">
      <c r="B30" s="54" t="s">
        <v>120</v>
      </c>
      <c r="C30" s="55" t="s">
        <v>17</v>
      </c>
      <c r="D30" s="29" t="s">
        <v>141</v>
      </c>
      <c r="E30" s="11">
        <v>4</v>
      </c>
    </row>
    <row r="31" spans="2:5" x14ac:dyDescent="0.3">
      <c r="B31" s="54" t="s">
        <v>129</v>
      </c>
      <c r="C31" s="55" t="s">
        <v>17</v>
      </c>
      <c r="D31" s="29" t="s">
        <v>140</v>
      </c>
      <c r="E31" s="11">
        <v>3</v>
      </c>
    </row>
    <row r="32" spans="2:5" x14ac:dyDescent="0.3">
      <c r="B32" s="54" t="s">
        <v>133</v>
      </c>
      <c r="C32" s="55" t="s">
        <v>17</v>
      </c>
      <c r="D32" s="29" t="s">
        <v>141</v>
      </c>
      <c r="E32" s="11">
        <v>2</v>
      </c>
    </row>
    <row r="33" spans="2:5" x14ac:dyDescent="0.3">
      <c r="B33" s="54" t="s">
        <v>134</v>
      </c>
      <c r="C33" s="55" t="s">
        <v>17</v>
      </c>
      <c r="D33" s="29" t="s">
        <v>139</v>
      </c>
      <c r="E33" s="11">
        <v>4</v>
      </c>
    </row>
    <row r="34" spans="2:5" x14ac:dyDescent="0.3">
      <c r="B34" s="54" t="s">
        <v>135</v>
      </c>
      <c r="C34" s="55" t="s">
        <v>17</v>
      </c>
      <c r="D34" s="29" t="s">
        <v>140</v>
      </c>
      <c r="E34" s="11">
        <v>4</v>
      </c>
    </row>
    <row r="35" spans="2:5" x14ac:dyDescent="0.3">
      <c r="B35" s="54" t="s">
        <v>136</v>
      </c>
      <c r="C35" s="55" t="s">
        <v>17</v>
      </c>
      <c r="D35" s="29" t="s">
        <v>140</v>
      </c>
      <c r="E35" s="11">
        <v>4</v>
      </c>
    </row>
    <row r="36" spans="2:5" x14ac:dyDescent="0.3">
      <c r="B36" s="54" t="s">
        <v>137</v>
      </c>
      <c r="C36" s="55" t="s">
        <v>17</v>
      </c>
      <c r="D36" s="29" t="s">
        <v>140</v>
      </c>
      <c r="E36" s="11">
        <v>3</v>
      </c>
    </row>
    <row r="37" spans="2:5" ht="15" thickBot="1" x14ac:dyDescent="0.35">
      <c r="B37" s="56" t="s">
        <v>112</v>
      </c>
      <c r="C37" s="57" t="s">
        <v>17</v>
      </c>
      <c r="D37" s="30" t="s">
        <v>140</v>
      </c>
      <c r="E37" s="13">
        <v>2</v>
      </c>
    </row>
    <row r="38" spans="2:5" ht="15" thickBot="1" x14ac:dyDescent="0.35"/>
    <row r="39" spans="2:5" ht="15" thickBot="1" x14ac:dyDescent="0.35">
      <c r="D39" s="32" t="s">
        <v>143</v>
      </c>
      <c r="E39" s="33">
        <f>SUM(E6:E37)</f>
        <v>101.5</v>
      </c>
    </row>
  </sheetData>
  <autoFilter ref="B5:E37" xr:uid="{93133217-C8F5-4788-AEEB-7509B70AEF5D}"/>
  <conditionalFormatting sqref="B6:B7">
    <cfRule type="expression" dxfId="51" priority="1">
      <formula>MAX($E6,$H6,$K6)=100</formula>
    </cfRule>
  </conditionalFormatting>
  <dataValidations count="2">
    <dataValidation type="list" allowBlank="1" showInputMessage="1" showErrorMessage="1" sqref="D7:D20 D21:D37" xr:uid="{00000000-0002-0000-0000-000000000000}">
      <formula1>"Haute,Moyenne,Basse,"</formula1>
    </dataValidation>
    <dataValidation type="list" allowBlank="1" showInputMessage="1" showErrorMessage="1" sqref="C7:C20 C21:C37" xr:uid="{00000000-0002-0000-0000-000001000000}">
      <formula1>"Sprint 1,Sprint 2,Sprint 3,Sprint 4,"</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85589-D367-4045-AC2C-21AA964CF385}">
  <sheetPr>
    <tabColor rgb="FFFF0000"/>
  </sheetPr>
  <dimension ref="A1:S26"/>
  <sheetViews>
    <sheetView workbookViewId="0">
      <selection activeCell="D17" sqref="D17"/>
    </sheetView>
  </sheetViews>
  <sheetFormatPr baseColWidth="10" defaultRowHeight="14.4" x14ac:dyDescent="0.3"/>
  <cols>
    <col min="1" max="1" width="1.77734375" customWidth="1"/>
    <col min="2" max="2" width="27.77734375" bestFit="1" customWidth="1"/>
    <col min="3" max="3" width="17.5546875" customWidth="1"/>
    <col min="4" max="4" width="15.21875" customWidth="1"/>
    <col min="5" max="5" width="19.77734375" customWidth="1"/>
    <col min="6" max="6" width="18.77734375" customWidth="1"/>
    <col min="7" max="7" width="9.77734375" customWidth="1"/>
    <col min="8" max="8" width="16.21875" customWidth="1"/>
    <col min="9" max="9" width="18.77734375" customWidth="1"/>
    <col min="10" max="10" width="9.5546875" customWidth="1"/>
    <col min="11" max="11" width="16.21875" customWidth="1"/>
    <col min="12" max="12" width="18.5546875" customWidth="1"/>
    <col min="14" max="14" width="15.44140625" customWidth="1"/>
    <col min="15" max="15" width="18.5546875" bestFit="1" customWidth="1"/>
    <col min="17" max="17" width="16.21875" bestFit="1" customWidth="1"/>
    <col min="18" max="18" width="18.5546875" bestFit="1" customWidth="1"/>
  </cols>
  <sheetData>
    <row r="1" spans="1:18" ht="46.2" x14ac:dyDescent="0.85">
      <c r="B1" s="1" t="s">
        <v>3</v>
      </c>
    </row>
    <row r="3" spans="1:18" ht="21" x14ac:dyDescent="0.4">
      <c r="A3" s="5"/>
      <c r="B3" s="4"/>
      <c r="C3" s="4"/>
      <c r="D3" s="4" t="s">
        <v>13</v>
      </c>
      <c r="E3" s="4"/>
      <c r="F3" s="4"/>
      <c r="G3" s="4" t="s">
        <v>14</v>
      </c>
      <c r="H3" s="4"/>
      <c r="I3" s="4"/>
      <c r="J3" s="4" t="s">
        <v>15</v>
      </c>
      <c r="K3" s="4"/>
      <c r="L3" s="6"/>
      <c r="M3" s="4" t="s">
        <v>19</v>
      </c>
      <c r="N3" s="4"/>
      <c r="O3" s="4"/>
      <c r="P3" s="4" t="s">
        <v>101</v>
      </c>
      <c r="Q3" s="4"/>
      <c r="R3" s="6"/>
    </row>
    <row r="4" spans="1:18" ht="21.6" thickBot="1" x14ac:dyDescent="0.45">
      <c r="A4" s="5"/>
      <c r="B4" s="4" t="s">
        <v>1</v>
      </c>
      <c r="C4" s="4" t="s">
        <v>7</v>
      </c>
      <c r="D4" s="4" t="s">
        <v>10</v>
      </c>
      <c r="E4" s="4" t="s">
        <v>11</v>
      </c>
      <c r="F4" s="4" t="s">
        <v>12</v>
      </c>
      <c r="G4" s="4" t="s">
        <v>8</v>
      </c>
      <c r="H4" s="4" t="s">
        <v>9</v>
      </c>
      <c r="I4" s="4" t="s">
        <v>12</v>
      </c>
      <c r="J4" s="4" t="s">
        <v>8</v>
      </c>
      <c r="K4" s="4" t="s">
        <v>9</v>
      </c>
      <c r="L4" s="6" t="s">
        <v>12</v>
      </c>
      <c r="M4" s="4" t="s">
        <v>8</v>
      </c>
      <c r="N4" s="4" t="s">
        <v>9</v>
      </c>
      <c r="O4" s="4" t="s">
        <v>12</v>
      </c>
      <c r="P4" s="4" t="s">
        <v>8</v>
      </c>
      <c r="Q4" s="4" t="s">
        <v>9</v>
      </c>
      <c r="R4" s="6" t="s">
        <v>12</v>
      </c>
    </row>
    <row r="5" spans="1:18" x14ac:dyDescent="0.3">
      <c r="B5" s="16" t="s">
        <v>93</v>
      </c>
      <c r="C5" s="10" t="s">
        <v>104</v>
      </c>
      <c r="D5" s="23" t="s">
        <v>87</v>
      </c>
      <c r="E5" s="17">
        <v>1</v>
      </c>
      <c r="F5" s="18"/>
      <c r="G5" s="26"/>
      <c r="H5" s="14"/>
      <c r="I5" s="10"/>
      <c r="J5" s="26"/>
      <c r="K5" s="9"/>
      <c r="L5" s="10"/>
      <c r="M5" s="26"/>
      <c r="N5" s="9"/>
      <c r="O5" s="9"/>
      <c r="P5" s="26"/>
      <c r="Q5" s="9"/>
      <c r="R5" s="10"/>
    </row>
    <row r="6" spans="1:18" x14ac:dyDescent="0.3">
      <c r="B6" s="19" t="s">
        <v>92</v>
      </c>
      <c r="C6" s="11" t="s">
        <v>104</v>
      </c>
      <c r="D6" s="24"/>
      <c r="F6" s="11"/>
      <c r="G6" s="27" t="s">
        <v>87</v>
      </c>
      <c r="H6" s="20">
        <v>1</v>
      </c>
      <c r="I6" s="21"/>
      <c r="J6" s="24"/>
      <c r="L6" s="11"/>
      <c r="M6" s="24"/>
      <c r="P6" s="24"/>
      <c r="R6" s="11"/>
    </row>
    <row r="7" spans="1:18" x14ac:dyDescent="0.3">
      <c r="B7" s="19" t="s">
        <v>94</v>
      </c>
      <c r="C7" s="11" t="s">
        <v>104</v>
      </c>
      <c r="D7" s="24"/>
      <c r="F7" s="11"/>
      <c r="G7" s="24" t="s">
        <v>87</v>
      </c>
      <c r="H7" s="15">
        <v>0.6</v>
      </c>
      <c r="I7" s="11"/>
      <c r="J7" s="27" t="s">
        <v>87</v>
      </c>
      <c r="K7" s="20">
        <v>1</v>
      </c>
      <c r="L7" s="21"/>
      <c r="M7" s="24"/>
      <c r="P7" s="24"/>
      <c r="R7" s="11"/>
    </row>
    <row r="8" spans="1:18" x14ac:dyDescent="0.3">
      <c r="B8" s="19" t="s">
        <v>100</v>
      </c>
      <c r="C8" s="11" t="s">
        <v>102</v>
      </c>
      <c r="D8" s="24"/>
      <c r="F8" s="11"/>
      <c r="G8" s="24" t="s">
        <v>87</v>
      </c>
      <c r="H8" s="15">
        <v>0.6</v>
      </c>
      <c r="I8" s="11"/>
      <c r="J8" s="24" t="s">
        <v>87</v>
      </c>
      <c r="K8" s="15">
        <v>0.9</v>
      </c>
      <c r="L8" s="11"/>
      <c r="M8" s="27" t="s">
        <v>87</v>
      </c>
      <c r="N8" s="20">
        <v>1</v>
      </c>
      <c r="O8" s="22"/>
      <c r="P8" s="24"/>
      <c r="R8" s="11"/>
    </row>
    <row r="9" spans="1:18" x14ac:dyDescent="0.3">
      <c r="B9" s="19" t="s">
        <v>95</v>
      </c>
      <c r="C9" s="11" t="s">
        <v>104</v>
      </c>
      <c r="D9" s="24"/>
      <c r="F9" s="11"/>
      <c r="G9" s="24" t="s">
        <v>87</v>
      </c>
      <c r="H9" s="15">
        <v>0.3</v>
      </c>
      <c r="I9" s="11"/>
      <c r="J9" s="24" t="s">
        <v>87</v>
      </c>
      <c r="K9" s="15">
        <v>0.7</v>
      </c>
      <c r="L9" s="11"/>
      <c r="M9" s="24" t="s">
        <v>87</v>
      </c>
      <c r="N9" s="15">
        <v>0.9</v>
      </c>
      <c r="P9" s="27" t="s">
        <v>87</v>
      </c>
      <c r="Q9" s="20">
        <v>1</v>
      </c>
      <c r="R9" s="21"/>
    </row>
    <row r="10" spans="1:18" x14ac:dyDescent="0.3">
      <c r="B10" s="19" t="s">
        <v>99</v>
      </c>
      <c r="C10" s="11" t="s">
        <v>104</v>
      </c>
      <c r="D10" s="24"/>
      <c r="F10" s="11"/>
      <c r="G10" s="24" t="s">
        <v>87</v>
      </c>
      <c r="H10" s="15">
        <v>0.2</v>
      </c>
      <c r="I10" s="11"/>
      <c r="J10" s="24" t="s">
        <v>87</v>
      </c>
      <c r="K10" s="15">
        <v>0.6</v>
      </c>
      <c r="L10" s="11"/>
      <c r="M10" s="24" t="s">
        <v>87</v>
      </c>
      <c r="N10" s="15">
        <v>0.9</v>
      </c>
      <c r="P10" s="27" t="s">
        <v>87</v>
      </c>
      <c r="Q10" s="20">
        <v>1</v>
      </c>
      <c r="R10" s="21"/>
    </row>
    <row r="11" spans="1:18" x14ac:dyDescent="0.3">
      <c r="B11" s="19" t="s">
        <v>97</v>
      </c>
      <c r="C11" s="11" t="s">
        <v>104</v>
      </c>
      <c r="D11" s="24"/>
      <c r="F11" s="11"/>
      <c r="G11" s="24"/>
      <c r="I11" s="11"/>
      <c r="J11" s="24" t="s">
        <v>87</v>
      </c>
      <c r="K11" s="15">
        <v>0.3</v>
      </c>
      <c r="L11" s="11"/>
      <c r="M11" s="24" t="s">
        <v>87</v>
      </c>
      <c r="N11" s="15">
        <v>0.9</v>
      </c>
      <c r="P11" s="27" t="s">
        <v>87</v>
      </c>
      <c r="Q11" s="20">
        <v>1</v>
      </c>
      <c r="R11" s="21"/>
    </row>
    <row r="12" spans="1:18" x14ac:dyDescent="0.3">
      <c r="B12" s="19" t="s">
        <v>98</v>
      </c>
      <c r="C12" s="11" t="s">
        <v>103</v>
      </c>
      <c r="D12" s="24"/>
      <c r="F12" s="11"/>
      <c r="G12" s="24"/>
      <c r="I12" s="11"/>
      <c r="J12" s="24" t="s">
        <v>87</v>
      </c>
      <c r="K12" s="15">
        <v>0.5</v>
      </c>
      <c r="L12" s="11"/>
      <c r="M12" s="27" t="s">
        <v>87</v>
      </c>
      <c r="N12" s="20">
        <v>1</v>
      </c>
      <c r="O12" s="22"/>
      <c r="P12" s="24"/>
      <c r="R12" s="11"/>
    </row>
    <row r="13" spans="1:18" ht="15" thickBot="1" x14ac:dyDescent="0.35">
      <c r="B13" s="38" t="s">
        <v>96</v>
      </c>
      <c r="C13" s="13" t="s">
        <v>104</v>
      </c>
      <c r="D13" s="25"/>
      <c r="E13" s="12"/>
      <c r="F13" s="13"/>
      <c r="G13" s="25"/>
      <c r="H13" s="12"/>
      <c r="I13" s="13"/>
      <c r="J13" s="25"/>
      <c r="K13" s="12"/>
      <c r="L13" s="13"/>
      <c r="M13" s="34" t="s">
        <v>87</v>
      </c>
      <c r="N13" s="35">
        <v>1</v>
      </c>
      <c r="O13" s="36"/>
      <c r="P13" s="25"/>
      <c r="Q13" s="37"/>
      <c r="R13" s="13"/>
    </row>
    <row r="21" spans="10:19" x14ac:dyDescent="0.3">
      <c r="J21" s="15"/>
    </row>
    <row r="25" spans="10:19" x14ac:dyDescent="0.3">
      <c r="M25" s="15"/>
      <c r="P25" s="15"/>
      <c r="S25" s="15"/>
    </row>
    <row r="26" spans="10:19" x14ac:dyDescent="0.3">
      <c r="M26" s="15"/>
      <c r="P26" s="15"/>
      <c r="S26" s="1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4977E-5C0D-4B3E-AF9C-0A24BFACEC79}">
  <sheetPr>
    <tabColor theme="7"/>
  </sheetPr>
  <dimension ref="B2:L48"/>
  <sheetViews>
    <sheetView topLeftCell="A4" zoomScale="55" zoomScaleNormal="55" workbookViewId="0">
      <selection activeCell="I23" sqref="I23"/>
    </sheetView>
  </sheetViews>
  <sheetFormatPr baseColWidth="10" defaultRowHeight="14.4" x14ac:dyDescent="0.3"/>
  <cols>
    <col min="1" max="1" width="5.5546875" customWidth="1"/>
    <col min="2" max="2" width="77.77734375" bestFit="1" customWidth="1"/>
    <col min="3" max="3" width="35.44140625" bestFit="1" customWidth="1"/>
    <col min="4" max="4" width="16.77734375" bestFit="1" customWidth="1"/>
    <col min="5" max="5" width="20.77734375" bestFit="1" customWidth="1"/>
    <col min="6" max="6" width="22.21875" bestFit="1" customWidth="1"/>
    <col min="7" max="7" width="16.77734375" bestFit="1" customWidth="1"/>
    <col min="8" max="8" width="20.77734375" bestFit="1" customWidth="1"/>
    <col min="9" max="9" width="74" customWidth="1"/>
    <col min="10" max="10" width="16.5546875" customWidth="1"/>
    <col min="11" max="11" width="20.77734375" bestFit="1" customWidth="1"/>
    <col min="12" max="12" width="22.77734375" customWidth="1"/>
  </cols>
  <sheetData>
    <row r="2" spans="2:12" ht="15" thickBot="1" x14ac:dyDescent="0.35"/>
    <row r="3" spans="2:12" ht="46.8" thickBot="1" x14ac:dyDescent="0.9">
      <c r="B3" s="89" t="s">
        <v>6</v>
      </c>
      <c r="C3" s="90"/>
      <c r="D3" s="90"/>
      <c r="E3" s="90"/>
      <c r="F3" s="90"/>
      <c r="G3" s="90"/>
      <c r="H3" s="90"/>
      <c r="I3" s="90"/>
      <c r="J3" s="90"/>
      <c r="K3" s="90"/>
      <c r="L3" s="91"/>
    </row>
    <row r="4" spans="2:12" ht="15" thickBot="1" x14ac:dyDescent="0.35"/>
    <row r="5" spans="2:12" ht="21" x14ac:dyDescent="0.4">
      <c r="B5" s="92" t="s">
        <v>1</v>
      </c>
      <c r="C5" s="94" t="s">
        <v>7</v>
      </c>
      <c r="D5" s="42" t="s">
        <v>13</v>
      </c>
      <c r="E5" s="43">
        <v>46083</v>
      </c>
      <c r="F5" s="96" t="s">
        <v>12</v>
      </c>
      <c r="G5" s="45" t="s">
        <v>14</v>
      </c>
      <c r="H5" s="43">
        <v>46090</v>
      </c>
      <c r="I5" s="96" t="s">
        <v>12</v>
      </c>
      <c r="J5" s="45" t="s">
        <v>15</v>
      </c>
      <c r="K5" s="43">
        <v>46104</v>
      </c>
      <c r="L5" s="96" t="s">
        <v>12</v>
      </c>
    </row>
    <row r="6" spans="2:12" ht="21.6" thickBot="1" x14ac:dyDescent="0.45">
      <c r="B6" s="93"/>
      <c r="C6" s="95"/>
      <c r="D6" s="42" t="s">
        <v>10</v>
      </c>
      <c r="E6" s="44" t="s">
        <v>11</v>
      </c>
      <c r="F6" s="97"/>
      <c r="G6" s="44" t="s">
        <v>10</v>
      </c>
      <c r="H6" s="44" t="s">
        <v>11</v>
      </c>
      <c r="I6" s="97"/>
      <c r="J6" s="44" t="s">
        <v>10</v>
      </c>
      <c r="K6" s="44" t="s">
        <v>11</v>
      </c>
      <c r="L6" s="97"/>
    </row>
    <row r="7" spans="2:12" ht="28.8" x14ac:dyDescent="0.3">
      <c r="B7" s="28" t="s">
        <v>22</v>
      </c>
      <c r="C7" s="28" t="s">
        <v>105</v>
      </c>
      <c r="D7" s="26">
        <v>3.5</v>
      </c>
      <c r="E7" s="41">
        <v>100</v>
      </c>
      <c r="F7" s="39" t="s">
        <v>144</v>
      </c>
      <c r="G7" s="26"/>
      <c r="H7" s="41"/>
      <c r="I7" s="10"/>
      <c r="J7" s="9"/>
      <c r="K7" s="9"/>
      <c r="L7" s="10"/>
    </row>
    <row r="8" spans="2:12" x14ac:dyDescent="0.3">
      <c r="B8" s="29" t="s">
        <v>33</v>
      </c>
      <c r="C8" s="29" t="s">
        <v>102</v>
      </c>
      <c r="D8" s="24">
        <v>1.5</v>
      </c>
      <c r="E8" s="31">
        <v>100</v>
      </c>
      <c r="F8" s="11"/>
      <c r="G8" s="24"/>
      <c r="H8" s="31"/>
      <c r="I8" s="11"/>
      <c r="L8" s="11"/>
    </row>
    <row r="9" spans="2:12" x14ac:dyDescent="0.3">
      <c r="B9" s="29" t="s">
        <v>34</v>
      </c>
      <c r="C9" s="29" t="s">
        <v>102</v>
      </c>
      <c r="D9" s="24">
        <v>0.1</v>
      </c>
      <c r="E9" s="31">
        <v>100</v>
      </c>
      <c r="F9" s="11"/>
      <c r="G9" s="24"/>
      <c r="H9" s="31"/>
      <c r="I9" s="11"/>
      <c r="L9" s="11"/>
    </row>
    <row r="10" spans="2:12" x14ac:dyDescent="0.3">
      <c r="B10" s="29" t="s">
        <v>73</v>
      </c>
      <c r="C10" s="29" t="s">
        <v>103</v>
      </c>
      <c r="D10" s="24">
        <v>0.5</v>
      </c>
      <c r="E10" s="31">
        <v>100</v>
      </c>
      <c r="F10" s="11"/>
      <c r="G10" s="24"/>
      <c r="H10" s="31"/>
      <c r="I10" s="11"/>
      <c r="L10" s="11"/>
    </row>
    <row r="11" spans="2:12" x14ac:dyDescent="0.3">
      <c r="B11" s="29" t="s">
        <v>151</v>
      </c>
      <c r="C11" s="29" t="s">
        <v>105</v>
      </c>
      <c r="D11" s="24">
        <v>0.2</v>
      </c>
      <c r="E11" s="31">
        <v>100</v>
      </c>
      <c r="F11" s="11"/>
      <c r="G11" s="24"/>
      <c r="H11" s="31"/>
      <c r="I11" s="11"/>
      <c r="L11" s="11"/>
    </row>
    <row r="12" spans="2:12" x14ac:dyDescent="0.3">
      <c r="B12" s="29" t="s">
        <v>23</v>
      </c>
      <c r="C12" s="29" t="s">
        <v>102</v>
      </c>
      <c r="D12" s="24"/>
      <c r="E12" s="31"/>
      <c r="F12" s="11"/>
      <c r="G12" s="24">
        <v>0.5</v>
      </c>
      <c r="H12" s="31">
        <v>100</v>
      </c>
      <c r="I12" s="11"/>
      <c r="L12" s="11"/>
    </row>
    <row r="13" spans="2:12" x14ac:dyDescent="0.3">
      <c r="B13" s="29" t="s">
        <v>24</v>
      </c>
      <c r="C13" s="29" t="s">
        <v>102</v>
      </c>
      <c r="D13" s="24"/>
      <c r="E13" s="31"/>
      <c r="F13" s="11"/>
      <c r="G13" s="24">
        <v>0.15</v>
      </c>
      <c r="H13" s="31">
        <v>100</v>
      </c>
      <c r="I13" s="11"/>
      <c r="L13" s="11"/>
    </row>
    <row r="14" spans="2:12" x14ac:dyDescent="0.3">
      <c r="B14" s="29" t="s">
        <v>25</v>
      </c>
      <c r="C14" s="29" t="s">
        <v>102</v>
      </c>
      <c r="D14" s="24"/>
      <c r="E14" s="31"/>
      <c r="F14" s="11"/>
      <c r="G14" s="24">
        <v>0.15</v>
      </c>
      <c r="H14" s="31">
        <v>100</v>
      </c>
      <c r="I14" s="11"/>
      <c r="L14" s="11"/>
    </row>
    <row r="15" spans="2:12" x14ac:dyDescent="0.3">
      <c r="B15" s="29" t="s">
        <v>149</v>
      </c>
      <c r="C15" s="29" t="s">
        <v>102</v>
      </c>
      <c r="D15" s="24"/>
      <c r="E15" s="31"/>
      <c r="F15" s="11"/>
      <c r="G15" s="24">
        <v>0.1</v>
      </c>
      <c r="H15" s="31">
        <v>100</v>
      </c>
      <c r="I15" s="11"/>
      <c r="L15" s="11"/>
    </row>
    <row r="16" spans="2:12" x14ac:dyDescent="0.3">
      <c r="B16" s="29" t="s">
        <v>27</v>
      </c>
      <c r="C16" s="29" t="s">
        <v>102</v>
      </c>
      <c r="D16" s="24"/>
      <c r="E16" s="31"/>
      <c r="F16" s="11"/>
      <c r="G16" s="24">
        <v>1</v>
      </c>
      <c r="H16" s="31">
        <v>100</v>
      </c>
      <c r="I16" s="11"/>
      <c r="L16" s="11"/>
    </row>
    <row r="17" spans="2:12" x14ac:dyDescent="0.3">
      <c r="B17" s="29" t="s">
        <v>28</v>
      </c>
      <c r="C17" s="29" t="s">
        <v>102</v>
      </c>
      <c r="D17" s="24"/>
      <c r="E17" s="31"/>
      <c r="F17" s="11"/>
      <c r="G17" s="24">
        <v>0.2</v>
      </c>
      <c r="H17" s="31">
        <v>100</v>
      </c>
      <c r="I17" s="11"/>
      <c r="L17" s="11"/>
    </row>
    <row r="18" spans="2:12" x14ac:dyDescent="0.3">
      <c r="B18" s="29" t="s">
        <v>147</v>
      </c>
      <c r="C18" s="29" t="s">
        <v>102</v>
      </c>
      <c r="D18" s="24"/>
      <c r="E18" s="31"/>
      <c r="F18" s="11"/>
      <c r="G18" s="24">
        <v>0.1</v>
      </c>
      <c r="H18" s="31">
        <v>100</v>
      </c>
      <c r="I18" s="11"/>
      <c r="L18" s="11"/>
    </row>
    <row r="19" spans="2:12" x14ac:dyDescent="0.3">
      <c r="B19" s="29" t="s">
        <v>148</v>
      </c>
      <c r="C19" s="29" t="s">
        <v>102</v>
      </c>
      <c r="D19" s="24"/>
      <c r="E19" s="31"/>
      <c r="F19" s="11"/>
      <c r="G19" s="24">
        <v>0.5</v>
      </c>
      <c r="H19" s="31">
        <v>100</v>
      </c>
      <c r="I19" s="11"/>
      <c r="L19" s="11"/>
    </row>
    <row r="20" spans="2:12" x14ac:dyDescent="0.3">
      <c r="B20" s="46" t="s">
        <v>156</v>
      </c>
      <c r="C20" s="47" t="s">
        <v>102</v>
      </c>
      <c r="D20" s="24"/>
      <c r="E20" s="31"/>
      <c r="F20" s="11"/>
      <c r="G20" s="24">
        <v>1.5</v>
      </c>
      <c r="H20" s="31">
        <v>100</v>
      </c>
      <c r="I20" s="11"/>
      <c r="L20" s="11"/>
    </row>
    <row r="21" spans="2:12" ht="17.100000000000001" customHeight="1" x14ac:dyDescent="0.3">
      <c r="B21" s="29" t="s">
        <v>89</v>
      </c>
      <c r="C21" s="29" t="s">
        <v>103</v>
      </c>
      <c r="D21" s="24"/>
      <c r="E21" s="31"/>
      <c r="F21" s="11"/>
      <c r="G21" s="24">
        <v>1.5</v>
      </c>
      <c r="H21" s="31">
        <v>100</v>
      </c>
      <c r="I21" s="40" t="s">
        <v>145</v>
      </c>
      <c r="L21" s="11"/>
    </row>
    <row r="22" spans="2:12" x14ac:dyDescent="0.3">
      <c r="B22" s="29" t="s">
        <v>49</v>
      </c>
      <c r="C22" s="29" t="s">
        <v>103</v>
      </c>
      <c r="D22" s="24"/>
      <c r="E22" s="31"/>
      <c r="F22" s="11"/>
      <c r="G22" s="24">
        <v>1</v>
      </c>
      <c r="H22" s="31">
        <v>100</v>
      </c>
      <c r="I22" s="11"/>
      <c r="L22" s="11"/>
    </row>
    <row r="23" spans="2:12" x14ac:dyDescent="0.3">
      <c r="B23" s="29" t="s">
        <v>88</v>
      </c>
      <c r="C23" s="29" t="s">
        <v>103</v>
      </c>
      <c r="D23" s="24"/>
      <c r="E23" s="31"/>
      <c r="F23" s="11"/>
      <c r="G23" s="24">
        <v>2</v>
      </c>
      <c r="H23" s="31">
        <v>100</v>
      </c>
      <c r="I23" s="11" t="s">
        <v>154</v>
      </c>
      <c r="L23" s="11"/>
    </row>
    <row r="24" spans="2:12" x14ac:dyDescent="0.3">
      <c r="B24" s="29" t="s">
        <v>72</v>
      </c>
      <c r="C24" s="29" t="s">
        <v>103</v>
      </c>
      <c r="D24" s="31"/>
      <c r="E24" s="31"/>
      <c r="F24" s="11"/>
      <c r="G24" s="24">
        <v>0.5</v>
      </c>
      <c r="H24" s="31">
        <v>100</v>
      </c>
      <c r="I24" s="11"/>
      <c r="L24" s="11"/>
    </row>
    <row r="25" spans="2:12" x14ac:dyDescent="0.3">
      <c r="B25" s="29" t="s">
        <v>78</v>
      </c>
      <c r="C25" s="29" t="s">
        <v>103</v>
      </c>
      <c r="D25" s="24"/>
      <c r="E25" s="31"/>
      <c r="F25" s="11"/>
      <c r="G25" s="24">
        <v>0.5</v>
      </c>
      <c r="H25" s="31">
        <v>100</v>
      </c>
      <c r="I25" s="11"/>
      <c r="L25" s="11"/>
    </row>
    <row r="26" spans="2:12" x14ac:dyDescent="0.3">
      <c r="B26" s="29" t="s">
        <v>90</v>
      </c>
      <c r="C26" s="29" t="s">
        <v>103</v>
      </c>
      <c r="D26" s="24"/>
      <c r="E26" s="31"/>
      <c r="F26" s="11"/>
      <c r="G26" s="24">
        <v>1</v>
      </c>
      <c r="H26" s="31">
        <v>100</v>
      </c>
      <c r="I26" s="11" t="s">
        <v>152</v>
      </c>
      <c r="L26" s="11"/>
    </row>
    <row r="27" spans="2:12" x14ac:dyDescent="0.3">
      <c r="B27" s="29" t="s">
        <v>91</v>
      </c>
      <c r="C27" s="29" t="s">
        <v>103</v>
      </c>
      <c r="D27" s="24"/>
      <c r="E27" s="31"/>
      <c r="F27" s="11"/>
      <c r="G27" s="24">
        <v>1</v>
      </c>
      <c r="H27" s="31">
        <v>100</v>
      </c>
      <c r="I27" s="11" t="s">
        <v>155</v>
      </c>
      <c r="L27" s="11"/>
    </row>
    <row r="28" spans="2:12" x14ac:dyDescent="0.3">
      <c r="B28" s="29" t="s">
        <v>77</v>
      </c>
      <c r="C28" s="29" t="s">
        <v>103</v>
      </c>
      <c r="D28" s="24"/>
      <c r="E28" s="31"/>
      <c r="F28" s="11"/>
      <c r="G28" s="24">
        <v>0.5</v>
      </c>
      <c r="H28" s="31">
        <v>100</v>
      </c>
      <c r="I28" s="40" t="s">
        <v>146</v>
      </c>
      <c r="L28" s="11"/>
    </row>
    <row r="29" spans="2:12" x14ac:dyDescent="0.3">
      <c r="B29" s="29" t="s">
        <v>74</v>
      </c>
      <c r="C29" s="29" t="s">
        <v>103</v>
      </c>
      <c r="D29" s="24"/>
      <c r="E29" s="31"/>
      <c r="F29" s="11"/>
      <c r="G29" s="24">
        <v>1</v>
      </c>
      <c r="H29" s="31">
        <v>100</v>
      </c>
      <c r="I29" s="11"/>
      <c r="L29" s="11"/>
    </row>
    <row r="30" spans="2:12" x14ac:dyDescent="0.3">
      <c r="B30" s="29" t="s">
        <v>171</v>
      </c>
      <c r="C30" s="29" t="s">
        <v>102</v>
      </c>
      <c r="D30" s="24"/>
      <c r="E30" s="31"/>
      <c r="F30" s="11"/>
      <c r="G30" s="31">
        <v>2</v>
      </c>
      <c r="H30" s="31">
        <v>100</v>
      </c>
      <c r="I30" s="11"/>
      <c r="L30" s="11"/>
    </row>
    <row r="31" spans="2:12" x14ac:dyDescent="0.3">
      <c r="B31" s="29" t="s">
        <v>40</v>
      </c>
      <c r="C31" s="29" t="s">
        <v>102</v>
      </c>
      <c r="D31" s="24"/>
      <c r="E31" s="31"/>
      <c r="F31" s="11"/>
      <c r="I31" s="11"/>
      <c r="J31" s="24">
        <v>1</v>
      </c>
      <c r="K31" s="31">
        <v>100</v>
      </c>
      <c r="L31" s="11"/>
    </row>
    <row r="32" spans="2:12" x14ac:dyDescent="0.3">
      <c r="B32" s="29" t="s">
        <v>41</v>
      </c>
      <c r="C32" s="29" t="s">
        <v>102</v>
      </c>
      <c r="D32" s="24"/>
      <c r="E32" s="31"/>
      <c r="F32" s="11"/>
      <c r="I32" s="11"/>
      <c r="J32" s="24">
        <v>1</v>
      </c>
      <c r="K32" s="31">
        <v>100</v>
      </c>
      <c r="L32" s="11"/>
    </row>
    <row r="33" spans="2:12" x14ac:dyDescent="0.3">
      <c r="B33" s="29" t="s">
        <v>150</v>
      </c>
      <c r="C33" s="29" t="s">
        <v>102</v>
      </c>
      <c r="D33" s="24"/>
      <c r="E33" s="31"/>
      <c r="F33" s="11"/>
      <c r="I33" s="11"/>
      <c r="J33" s="24">
        <v>1</v>
      </c>
      <c r="K33" s="31">
        <v>100</v>
      </c>
      <c r="L33" s="11"/>
    </row>
    <row r="34" spans="2:12" x14ac:dyDescent="0.3">
      <c r="B34" s="29" t="s">
        <v>153</v>
      </c>
      <c r="C34" s="29" t="s">
        <v>102</v>
      </c>
      <c r="D34" s="24"/>
      <c r="E34" s="31"/>
      <c r="F34" s="11"/>
      <c r="I34" s="11"/>
      <c r="J34" s="24">
        <v>0.25</v>
      </c>
      <c r="K34" s="31">
        <v>100</v>
      </c>
      <c r="L34" s="11"/>
    </row>
    <row r="35" spans="2:12" x14ac:dyDescent="0.3">
      <c r="B35" s="29" t="s">
        <v>71</v>
      </c>
      <c r="C35" s="29" t="s">
        <v>102</v>
      </c>
      <c r="D35" s="24"/>
      <c r="E35" s="31"/>
      <c r="F35" s="11"/>
      <c r="I35" s="11"/>
      <c r="J35" s="24">
        <v>1</v>
      </c>
      <c r="K35" s="31">
        <v>100</v>
      </c>
      <c r="L35" s="11"/>
    </row>
    <row r="36" spans="2:12" x14ac:dyDescent="0.3">
      <c r="B36" s="29" t="s">
        <v>36</v>
      </c>
      <c r="C36" s="29" t="s">
        <v>102</v>
      </c>
      <c r="D36" s="24"/>
      <c r="E36" s="31"/>
      <c r="F36" s="11"/>
      <c r="I36" s="11"/>
      <c r="J36" s="24">
        <v>1</v>
      </c>
      <c r="K36" s="31">
        <v>100</v>
      </c>
      <c r="L36" s="11"/>
    </row>
    <row r="37" spans="2:12" x14ac:dyDescent="0.3">
      <c r="B37" s="29" t="s">
        <v>37</v>
      </c>
      <c r="C37" s="29" t="s">
        <v>102</v>
      </c>
      <c r="D37" s="24"/>
      <c r="E37" s="31"/>
      <c r="F37" s="11"/>
      <c r="I37" s="11"/>
      <c r="J37" s="24">
        <v>2</v>
      </c>
      <c r="K37" s="31">
        <v>100</v>
      </c>
      <c r="L37" s="11"/>
    </row>
    <row r="38" spans="2:12" x14ac:dyDescent="0.3">
      <c r="B38" s="29" t="s">
        <v>167</v>
      </c>
      <c r="C38" s="29" t="s">
        <v>102</v>
      </c>
      <c r="D38" s="24"/>
      <c r="E38" s="31"/>
      <c r="F38" s="11"/>
      <c r="I38" s="11"/>
      <c r="J38" s="24">
        <v>1</v>
      </c>
      <c r="K38" s="31">
        <v>100</v>
      </c>
      <c r="L38" s="11"/>
    </row>
    <row r="39" spans="2:12" x14ac:dyDescent="0.3">
      <c r="B39" s="29" t="s">
        <v>168</v>
      </c>
      <c r="C39" s="29" t="s">
        <v>102</v>
      </c>
      <c r="D39" s="24"/>
      <c r="E39" s="31"/>
      <c r="F39" s="11"/>
      <c r="I39" s="11"/>
      <c r="J39" s="24">
        <v>1</v>
      </c>
      <c r="K39" s="31">
        <v>100</v>
      </c>
      <c r="L39" s="11"/>
    </row>
    <row r="40" spans="2:12" x14ac:dyDescent="0.3">
      <c r="B40" s="29" t="s">
        <v>165</v>
      </c>
      <c r="C40" s="29" t="s">
        <v>102</v>
      </c>
      <c r="D40" s="24"/>
      <c r="E40" s="31"/>
      <c r="F40" s="11"/>
      <c r="I40" s="11"/>
      <c r="J40" s="24">
        <v>0.75</v>
      </c>
      <c r="K40" s="31">
        <v>100</v>
      </c>
      <c r="L40" s="11"/>
    </row>
    <row r="41" spans="2:12" x14ac:dyDescent="0.3">
      <c r="B41" s="29" t="s">
        <v>166</v>
      </c>
      <c r="C41" s="29" t="s">
        <v>102</v>
      </c>
      <c r="D41" s="24"/>
      <c r="E41" s="31"/>
      <c r="F41" s="11"/>
      <c r="I41" s="11"/>
      <c r="J41" s="24">
        <v>1</v>
      </c>
      <c r="K41" s="31">
        <v>100</v>
      </c>
      <c r="L41" s="11"/>
    </row>
    <row r="42" spans="2:12" x14ac:dyDescent="0.3">
      <c r="B42" s="29" t="s">
        <v>163</v>
      </c>
      <c r="C42" s="29" t="s">
        <v>102</v>
      </c>
      <c r="D42" s="24"/>
      <c r="E42" s="31"/>
      <c r="F42" s="11"/>
      <c r="I42" s="11"/>
      <c r="J42" s="24">
        <v>0.5</v>
      </c>
      <c r="K42" s="31">
        <v>100</v>
      </c>
      <c r="L42" s="11"/>
    </row>
    <row r="43" spans="2:12" x14ac:dyDescent="0.3">
      <c r="B43" s="29" t="s">
        <v>162</v>
      </c>
      <c r="C43" s="29" t="s">
        <v>102</v>
      </c>
      <c r="D43" s="24"/>
      <c r="E43" s="31"/>
      <c r="F43" s="11"/>
      <c r="I43" s="11"/>
      <c r="J43" s="24">
        <v>0.5</v>
      </c>
      <c r="K43" s="31">
        <v>100</v>
      </c>
      <c r="L43" s="11"/>
    </row>
    <row r="44" spans="2:12" x14ac:dyDescent="0.3">
      <c r="B44" s="29" t="s">
        <v>158</v>
      </c>
      <c r="C44" s="29" t="s">
        <v>102</v>
      </c>
      <c r="D44" s="24"/>
      <c r="E44" s="31"/>
      <c r="F44" s="11"/>
      <c r="I44" s="11"/>
      <c r="J44" s="24">
        <v>1</v>
      </c>
      <c r="K44" s="31">
        <v>100</v>
      </c>
      <c r="L44" s="11"/>
    </row>
    <row r="45" spans="2:12" x14ac:dyDescent="0.3">
      <c r="B45" s="29" t="s">
        <v>157</v>
      </c>
      <c r="C45" s="29" t="s">
        <v>102</v>
      </c>
      <c r="D45" s="24"/>
      <c r="E45" s="31"/>
      <c r="F45" s="11"/>
      <c r="I45" s="11"/>
      <c r="J45" s="24">
        <v>0.75</v>
      </c>
      <c r="K45" s="31">
        <v>100</v>
      </c>
      <c r="L45" s="11"/>
    </row>
    <row r="46" spans="2:12" x14ac:dyDescent="0.3">
      <c r="B46" s="29" t="s">
        <v>161</v>
      </c>
      <c r="C46" s="29" t="s">
        <v>102</v>
      </c>
      <c r="D46" s="24"/>
      <c r="E46" s="31"/>
      <c r="F46" s="11"/>
      <c r="I46" s="11"/>
      <c r="J46" s="24">
        <v>0.75</v>
      </c>
      <c r="K46" s="31">
        <v>100</v>
      </c>
      <c r="L46" s="11"/>
    </row>
    <row r="47" spans="2:12" x14ac:dyDescent="0.3">
      <c r="B47" s="29" t="s">
        <v>169</v>
      </c>
      <c r="C47" s="29" t="s">
        <v>102</v>
      </c>
      <c r="D47" s="24"/>
      <c r="E47" s="31"/>
      <c r="F47" s="11"/>
      <c r="I47" s="11"/>
      <c r="J47" s="24">
        <v>2</v>
      </c>
      <c r="K47" s="31">
        <v>100</v>
      </c>
      <c r="L47" s="11"/>
    </row>
    <row r="48" spans="2:12" x14ac:dyDescent="0.3">
      <c r="B48" s="58" t="s">
        <v>160</v>
      </c>
      <c r="C48" s="29" t="s">
        <v>102</v>
      </c>
      <c r="D48" s="24"/>
      <c r="E48" s="31"/>
      <c r="F48" s="11"/>
      <c r="I48" s="11"/>
      <c r="J48" s="24">
        <v>1</v>
      </c>
      <c r="K48" s="31">
        <v>100</v>
      </c>
      <c r="L48" s="11"/>
    </row>
  </sheetData>
  <autoFilter ref="B5:L6" xr:uid="{00000000-0009-0000-0000-000002000000}"/>
  <mergeCells count="6">
    <mergeCell ref="B3:L3"/>
    <mergeCell ref="B5:B6"/>
    <mergeCell ref="C5:C6"/>
    <mergeCell ref="F5:F6"/>
    <mergeCell ref="I5:I6"/>
    <mergeCell ref="L5:L6"/>
  </mergeCells>
  <conditionalFormatting sqref="B1:B43">
    <cfRule type="expression" dxfId="50" priority="7">
      <formula>MAX($E1,$H1,$K1)=100</formula>
    </cfRule>
  </conditionalFormatting>
  <conditionalFormatting sqref="B30:B42">
    <cfRule type="expression" dxfId="49" priority="1">
      <formula>MAX($E30,$K30,#REF!)=100</formula>
    </cfRule>
  </conditionalFormatting>
  <conditionalFormatting sqref="B44">
    <cfRule type="expression" dxfId="48" priority="32">
      <formula>MAX($E46,$H46,$K46)=100</formula>
    </cfRule>
    <cfRule type="expression" dxfId="47" priority="38">
      <formula>MAX($E46,$K46,#REF!)=100</formula>
    </cfRule>
  </conditionalFormatting>
  <conditionalFormatting sqref="B45 B47:B48">
    <cfRule type="expression" dxfId="46" priority="30">
      <formula>MAX($E45,$K45,#REF!)=100</formula>
    </cfRule>
  </conditionalFormatting>
  <conditionalFormatting sqref="B45:B1048576">
    <cfRule type="expression" dxfId="45" priority="6">
      <formula>MAX($E45,$H45,$K45)=100</formula>
    </cfRule>
  </conditionalFormatting>
  <conditionalFormatting sqref="C1:C45">
    <cfRule type="expression" dxfId="44" priority="25">
      <formula>$C1="Charlotte"</formula>
    </cfRule>
    <cfRule type="expression" dxfId="43" priority="27">
      <formula>$C1="Eddy"</formula>
    </cfRule>
  </conditionalFormatting>
  <conditionalFormatting sqref="C1:C1048576">
    <cfRule type="expression" dxfId="42" priority="8">
      <formula>$C1="Charlotte/Eddy"</formula>
    </cfRule>
  </conditionalFormatting>
  <conditionalFormatting sqref="C42:C1048576">
    <cfRule type="expression" dxfId="41" priority="13">
      <formula>$C42="Charlotte"</formula>
    </cfRule>
    <cfRule type="expression" dxfId="40" priority="14">
      <formula>$C42="Eddy"</formula>
    </cfRule>
  </conditionalFormatting>
  <conditionalFormatting sqref="C47">
    <cfRule type="expression" dxfId="39" priority="20">
      <formula>$C47="Charlotte"</formula>
    </cfRule>
    <cfRule type="expression" dxfId="38" priority="21">
      <formula>$C47="Eddy"</formula>
    </cfRule>
  </conditionalFormatting>
  <conditionalFormatting sqref="C48">
    <cfRule type="expression" dxfId="37" priority="9">
      <formula>$C48="Charlotte"</formula>
    </cfRule>
    <cfRule type="expression" dxfId="36" priority="10">
      <formula>$C48="Eddy"</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181AE-6DCE-4F2E-9BC3-78C1EB9A33C7}">
  <sheetPr>
    <tabColor theme="8"/>
  </sheetPr>
  <dimension ref="B1:L60"/>
  <sheetViews>
    <sheetView topLeftCell="E36" zoomScale="70" zoomScaleNormal="70" workbookViewId="0">
      <selection activeCell="A44" sqref="A44:XFD44"/>
    </sheetView>
  </sheetViews>
  <sheetFormatPr baseColWidth="10" defaultRowHeight="14.4" x14ac:dyDescent="0.3"/>
  <cols>
    <col min="1" max="1" width="1.77734375" customWidth="1"/>
    <col min="2" max="2" width="89" bestFit="1" customWidth="1"/>
    <col min="3" max="3" width="17.21875" customWidth="1"/>
    <col min="4" max="4" width="21.77734375" customWidth="1"/>
    <col min="5" max="5" width="21.5546875" bestFit="1" customWidth="1"/>
    <col min="6" max="6" width="19.21875" customWidth="1"/>
    <col min="7" max="7" width="16" style="31" bestFit="1" customWidth="1"/>
    <col min="8" max="8" width="21.5546875" style="31" bestFit="1" customWidth="1"/>
    <col min="9" max="9" width="52.77734375" customWidth="1"/>
    <col min="10" max="10" width="16" bestFit="1" customWidth="1"/>
    <col min="11" max="11" width="21.5546875" bestFit="1" customWidth="1"/>
    <col min="12" max="12" width="69.44140625" customWidth="1"/>
  </cols>
  <sheetData>
    <row r="1" spans="2:12" ht="46.8" thickBot="1" x14ac:dyDescent="0.9">
      <c r="B1" s="89" t="s">
        <v>16</v>
      </c>
      <c r="C1" s="90"/>
      <c r="D1" s="90"/>
      <c r="E1" s="90"/>
      <c r="F1" s="90"/>
      <c r="G1" s="90"/>
      <c r="H1" s="90"/>
      <c r="I1" s="90"/>
      <c r="J1" s="90"/>
      <c r="K1" s="90"/>
      <c r="L1" s="91"/>
    </row>
    <row r="3" spans="2:12" ht="15" thickBot="1" x14ac:dyDescent="0.35"/>
    <row r="4" spans="2:12" ht="21" x14ac:dyDescent="0.4">
      <c r="B4" s="92" t="s">
        <v>1</v>
      </c>
      <c r="C4" s="94" t="s">
        <v>7</v>
      </c>
      <c r="D4" s="42" t="s">
        <v>13</v>
      </c>
      <c r="E4" s="43">
        <v>46111</v>
      </c>
      <c r="F4" s="96" t="s">
        <v>12</v>
      </c>
      <c r="G4" s="60" t="s">
        <v>14</v>
      </c>
      <c r="H4" s="43">
        <v>46125</v>
      </c>
      <c r="I4" s="96" t="s">
        <v>12</v>
      </c>
      <c r="J4" s="45" t="s">
        <v>15</v>
      </c>
      <c r="K4" s="43">
        <v>46132</v>
      </c>
      <c r="L4" s="96" t="s">
        <v>12</v>
      </c>
    </row>
    <row r="5" spans="2:12" ht="21.6" thickBot="1" x14ac:dyDescent="0.45">
      <c r="B5" s="93"/>
      <c r="C5" s="95"/>
      <c r="D5" s="42" t="s">
        <v>10</v>
      </c>
      <c r="E5" s="44" t="s">
        <v>11</v>
      </c>
      <c r="F5" s="97"/>
      <c r="G5" s="59" t="s">
        <v>10</v>
      </c>
      <c r="H5" s="59" t="s">
        <v>11</v>
      </c>
      <c r="I5" s="97"/>
      <c r="J5" s="44" t="s">
        <v>10</v>
      </c>
      <c r="K5" s="44" t="s">
        <v>11</v>
      </c>
      <c r="L5" s="97"/>
    </row>
    <row r="6" spans="2:12" x14ac:dyDescent="0.3">
      <c r="B6" s="29" t="s">
        <v>174</v>
      </c>
      <c r="C6" s="29" t="s">
        <v>102</v>
      </c>
      <c r="D6" s="24">
        <v>0.5</v>
      </c>
      <c r="E6" s="31">
        <v>100</v>
      </c>
      <c r="F6" s="11"/>
      <c r="G6" s="24"/>
      <c r="I6" s="11"/>
      <c r="L6" s="11"/>
    </row>
    <row r="7" spans="2:12" x14ac:dyDescent="0.3">
      <c r="B7" s="29" t="s">
        <v>175</v>
      </c>
      <c r="C7" s="29" t="s">
        <v>102</v>
      </c>
      <c r="D7" s="24">
        <v>0.5</v>
      </c>
      <c r="E7" s="31">
        <v>100</v>
      </c>
      <c r="F7" s="11"/>
      <c r="G7" s="24"/>
      <c r="I7" s="11"/>
      <c r="L7" s="11"/>
    </row>
    <row r="8" spans="2:12" x14ac:dyDescent="0.3">
      <c r="B8" s="29" t="s">
        <v>176</v>
      </c>
      <c r="C8" s="29" t="s">
        <v>102</v>
      </c>
      <c r="D8" s="24">
        <v>0.75</v>
      </c>
      <c r="E8" s="31">
        <v>100</v>
      </c>
      <c r="F8" s="11"/>
      <c r="G8" s="24"/>
      <c r="I8" s="11"/>
      <c r="L8" s="11"/>
    </row>
    <row r="9" spans="2:12" x14ac:dyDescent="0.3">
      <c r="B9" s="29" t="s">
        <v>159</v>
      </c>
      <c r="C9" s="29" t="s">
        <v>102</v>
      </c>
      <c r="D9" s="24">
        <v>0.5</v>
      </c>
      <c r="E9" s="31">
        <v>100</v>
      </c>
      <c r="F9" s="11"/>
      <c r="G9" s="24"/>
      <c r="I9" s="11"/>
      <c r="L9" s="11"/>
    </row>
    <row r="10" spans="2:12" x14ac:dyDescent="0.3">
      <c r="B10" s="29" t="s">
        <v>173</v>
      </c>
      <c r="C10" s="29" t="s">
        <v>102</v>
      </c>
      <c r="D10" s="24">
        <v>0.75</v>
      </c>
      <c r="E10" s="31">
        <v>100</v>
      </c>
      <c r="F10" s="11"/>
      <c r="G10" s="24"/>
      <c r="I10" s="11"/>
      <c r="L10" s="11"/>
    </row>
    <row r="11" spans="2:12" x14ac:dyDescent="0.3">
      <c r="B11" s="29" t="s">
        <v>172</v>
      </c>
      <c r="C11" s="29" t="s">
        <v>102</v>
      </c>
      <c r="D11" s="24">
        <v>1.5</v>
      </c>
      <c r="E11" s="31">
        <v>100</v>
      </c>
      <c r="F11" s="11"/>
      <c r="G11" s="24"/>
      <c r="I11" s="11"/>
      <c r="L11" s="11"/>
    </row>
    <row r="12" spans="2:12" x14ac:dyDescent="0.3">
      <c r="B12" s="29" t="s">
        <v>164</v>
      </c>
      <c r="C12" s="29" t="s">
        <v>102</v>
      </c>
      <c r="D12" s="24">
        <v>1</v>
      </c>
      <c r="E12" s="31">
        <v>100</v>
      </c>
      <c r="F12" s="11"/>
      <c r="G12" s="24"/>
      <c r="I12" s="11"/>
      <c r="L12" s="11"/>
    </row>
    <row r="13" spans="2:12" x14ac:dyDescent="0.3">
      <c r="B13" s="29" t="s">
        <v>170</v>
      </c>
      <c r="C13" s="29" t="s">
        <v>102</v>
      </c>
      <c r="D13" s="24">
        <v>0.75</v>
      </c>
      <c r="E13" s="31">
        <v>100</v>
      </c>
      <c r="F13" s="11"/>
      <c r="G13" s="24"/>
      <c r="I13" s="11"/>
      <c r="L13" s="11"/>
    </row>
    <row r="14" spans="2:12" x14ac:dyDescent="0.3">
      <c r="B14" s="29" t="s">
        <v>177</v>
      </c>
      <c r="C14" s="29" t="s">
        <v>102</v>
      </c>
      <c r="D14" s="24">
        <v>1</v>
      </c>
      <c r="E14" s="31">
        <v>100</v>
      </c>
      <c r="F14" s="11"/>
      <c r="G14" s="24"/>
      <c r="I14" s="11"/>
      <c r="L14" s="11"/>
    </row>
    <row r="15" spans="2:12" x14ac:dyDescent="0.3">
      <c r="B15" s="29" t="s">
        <v>178</v>
      </c>
      <c r="C15" s="29" t="s">
        <v>102</v>
      </c>
      <c r="D15" s="24">
        <v>0.05</v>
      </c>
      <c r="E15" s="31">
        <v>100</v>
      </c>
      <c r="F15" s="11"/>
      <c r="G15" s="24"/>
      <c r="I15" s="11"/>
      <c r="L15" s="11"/>
    </row>
    <row r="16" spans="2:12" x14ac:dyDescent="0.3">
      <c r="B16" s="29" t="s">
        <v>180</v>
      </c>
      <c r="C16" s="29" t="s">
        <v>102</v>
      </c>
      <c r="D16" s="24">
        <v>2</v>
      </c>
      <c r="E16" s="31">
        <v>100</v>
      </c>
      <c r="F16" s="11"/>
      <c r="G16" s="24"/>
      <c r="I16" s="11"/>
      <c r="L16" s="11"/>
    </row>
    <row r="17" spans="2:12" x14ac:dyDescent="0.3">
      <c r="B17" s="29" t="s">
        <v>182</v>
      </c>
      <c r="C17" s="29" t="s">
        <v>102</v>
      </c>
      <c r="D17" s="24">
        <v>1</v>
      </c>
      <c r="E17" s="31">
        <v>100</v>
      </c>
      <c r="F17" s="11"/>
      <c r="G17" s="24"/>
      <c r="I17" s="11"/>
      <c r="L17" s="11"/>
    </row>
    <row r="18" spans="2:12" x14ac:dyDescent="0.3">
      <c r="B18" s="29" t="s">
        <v>183</v>
      </c>
      <c r="C18" s="29" t="s">
        <v>102</v>
      </c>
      <c r="D18" s="24">
        <v>0.25</v>
      </c>
      <c r="E18" s="31">
        <v>100</v>
      </c>
      <c r="F18" s="11"/>
      <c r="G18" s="24"/>
      <c r="I18" s="11"/>
      <c r="L18" s="11"/>
    </row>
    <row r="19" spans="2:12" x14ac:dyDescent="0.3">
      <c r="B19" s="29" t="s">
        <v>184</v>
      </c>
      <c r="C19" s="29" t="s">
        <v>102</v>
      </c>
      <c r="D19" s="24">
        <v>1</v>
      </c>
      <c r="E19" s="31">
        <v>100</v>
      </c>
      <c r="F19" s="11"/>
      <c r="G19" s="24"/>
      <c r="I19" s="11"/>
      <c r="L19" s="11"/>
    </row>
    <row r="20" spans="2:12" x14ac:dyDescent="0.3">
      <c r="B20" s="29" t="s">
        <v>195</v>
      </c>
      <c r="C20" s="29" t="s">
        <v>102</v>
      </c>
      <c r="D20" s="24"/>
      <c r="E20" s="31"/>
      <c r="F20" s="11"/>
      <c r="G20" s="24">
        <v>1.5</v>
      </c>
      <c r="H20" s="31">
        <v>100</v>
      </c>
      <c r="I20" s="11"/>
      <c r="L20" s="11"/>
    </row>
    <row r="21" spans="2:12" x14ac:dyDescent="0.3">
      <c r="B21" s="29" t="s">
        <v>185</v>
      </c>
      <c r="C21" s="29" t="s">
        <v>102</v>
      </c>
      <c r="D21" s="24"/>
      <c r="E21" s="31"/>
      <c r="F21" s="11"/>
      <c r="G21" s="24">
        <v>0.75</v>
      </c>
      <c r="H21" s="31">
        <v>100</v>
      </c>
      <c r="I21" s="11"/>
      <c r="L21" s="11"/>
    </row>
    <row r="22" spans="2:12" x14ac:dyDescent="0.3">
      <c r="B22" s="29" t="s">
        <v>196</v>
      </c>
      <c r="C22" s="29" t="s">
        <v>102</v>
      </c>
      <c r="D22" s="24"/>
      <c r="E22" s="31"/>
      <c r="F22" s="11"/>
      <c r="G22" s="24">
        <v>1</v>
      </c>
      <c r="H22" s="31">
        <v>100</v>
      </c>
      <c r="I22" s="11"/>
      <c r="L22" s="11"/>
    </row>
    <row r="23" spans="2:12" x14ac:dyDescent="0.3">
      <c r="B23" s="29" t="s">
        <v>192</v>
      </c>
      <c r="C23" s="29" t="s">
        <v>102</v>
      </c>
      <c r="D23" s="24"/>
      <c r="E23" s="31"/>
      <c r="F23" s="11"/>
      <c r="G23" s="24">
        <v>1</v>
      </c>
      <c r="H23" s="31">
        <v>100</v>
      </c>
      <c r="I23" s="11"/>
      <c r="L23" s="11"/>
    </row>
    <row r="24" spans="2:12" x14ac:dyDescent="0.3">
      <c r="B24" s="29" t="s">
        <v>186</v>
      </c>
      <c r="C24" s="29" t="s">
        <v>102</v>
      </c>
      <c r="D24" s="24"/>
      <c r="E24" s="31"/>
      <c r="F24" s="11"/>
      <c r="G24" s="24">
        <v>0.5</v>
      </c>
      <c r="H24" s="31">
        <v>100</v>
      </c>
      <c r="I24" s="11"/>
      <c r="L24" s="11"/>
    </row>
    <row r="25" spans="2:12" x14ac:dyDescent="0.3">
      <c r="B25" s="29" t="s">
        <v>198</v>
      </c>
      <c r="C25" s="29" t="s">
        <v>102</v>
      </c>
      <c r="D25" s="24"/>
      <c r="E25" s="31"/>
      <c r="F25" s="11"/>
      <c r="G25" s="24">
        <v>3</v>
      </c>
      <c r="H25" s="31">
        <v>100</v>
      </c>
      <c r="I25" s="11"/>
      <c r="L25" s="11"/>
    </row>
    <row r="26" spans="2:12" x14ac:dyDescent="0.3">
      <c r="B26" s="29" t="s">
        <v>187</v>
      </c>
      <c r="C26" s="29" t="s">
        <v>102</v>
      </c>
      <c r="D26" s="24"/>
      <c r="E26" s="31"/>
      <c r="F26" s="11"/>
      <c r="G26" s="24">
        <v>0.75</v>
      </c>
      <c r="H26" s="31">
        <v>100</v>
      </c>
      <c r="I26" s="11"/>
      <c r="L26" s="11"/>
    </row>
    <row r="27" spans="2:12" x14ac:dyDescent="0.3">
      <c r="B27" s="29" t="s">
        <v>188</v>
      </c>
      <c r="C27" s="29" t="s">
        <v>102</v>
      </c>
      <c r="D27" s="24"/>
      <c r="E27" s="31"/>
      <c r="F27" s="11"/>
      <c r="G27" s="24">
        <v>0.5</v>
      </c>
      <c r="H27" s="31">
        <v>100</v>
      </c>
      <c r="I27" s="11"/>
      <c r="L27" s="11"/>
    </row>
    <row r="28" spans="2:12" x14ac:dyDescent="0.3">
      <c r="B28" s="29" t="s">
        <v>189</v>
      </c>
      <c r="C28" s="29" t="s">
        <v>102</v>
      </c>
      <c r="D28" s="24"/>
      <c r="E28" s="31"/>
      <c r="F28" s="11"/>
      <c r="G28" s="24">
        <v>0.75</v>
      </c>
      <c r="H28" s="31">
        <v>100</v>
      </c>
      <c r="I28" s="11"/>
      <c r="L28" s="11"/>
    </row>
    <row r="29" spans="2:12" x14ac:dyDescent="0.3">
      <c r="B29" s="29" t="s">
        <v>190</v>
      </c>
      <c r="C29" s="29" t="s">
        <v>102</v>
      </c>
      <c r="D29" s="24"/>
      <c r="E29" s="31"/>
      <c r="F29" s="11"/>
      <c r="G29" s="24">
        <v>0.5</v>
      </c>
      <c r="H29" s="31">
        <v>100</v>
      </c>
      <c r="I29" s="11"/>
      <c r="L29" s="11"/>
    </row>
    <row r="30" spans="2:12" x14ac:dyDescent="0.3">
      <c r="B30" s="29" t="s">
        <v>194</v>
      </c>
      <c r="C30" s="29" t="s">
        <v>102</v>
      </c>
      <c r="D30" s="24"/>
      <c r="E30" s="31"/>
      <c r="F30" s="11"/>
      <c r="G30" s="24">
        <v>1.25</v>
      </c>
      <c r="H30" s="31">
        <v>100</v>
      </c>
      <c r="I30" s="11"/>
      <c r="L30" s="11"/>
    </row>
    <row r="31" spans="2:12" x14ac:dyDescent="0.3">
      <c r="B31" s="29" t="s">
        <v>191</v>
      </c>
      <c r="C31" s="29" t="s">
        <v>102</v>
      </c>
      <c r="D31" s="24"/>
      <c r="E31" s="31"/>
      <c r="F31" s="11"/>
      <c r="G31" s="24">
        <v>0.5</v>
      </c>
      <c r="H31" s="31">
        <v>100</v>
      </c>
      <c r="I31" s="11"/>
      <c r="L31" s="11"/>
    </row>
    <row r="32" spans="2:12" x14ac:dyDescent="0.3">
      <c r="B32" s="29" t="s">
        <v>193</v>
      </c>
      <c r="C32" s="29" t="s">
        <v>102</v>
      </c>
      <c r="D32" s="24"/>
      <c r="E32" s="31"/>
      <c r="F32" s="11"/>
      <c r="G32" s="24">
        <v>0.5</v>
      </c>
      <c r="H32" s="31">
        <v>100</v>
      </c>
      <c r="I32" s="11"/>
      <c r="L32" s="11"/>
    </row>
    <row r="33" spans="2:12" x14ac:dyDescent="0.3">
      <c r="B33" s="29" t="s">
        <v>197</v>
      </c>
      <c r="C33" s="29" t="s">
        <v>102</v>
      </c>
      <c r="D33" s="24"/>
      <c r="E33" s="31"/>
      <c r="F33" s="11"/>
      <c r="G33" s="24">
        <v>1.25</v>
      </c>
      <c r="H33" s="31">
        <v>100</v>
      </c>
      <c r="I33" s="11"/>
      <c r="L33" s="11"/>
    </row>
    <row r="34" spans="2:12" x14ac:dyDescent="0.3">
      <c r="B34" s="29" t="s">
        <v>199</v>
      </c>
      <c r="C34" s="29" t="s">
        <v>102</v>
      </c>
      <c r="D34" s="24"/>
      <c r="E34" s="31"/>
      <c r="F34" s="11"/>
      <c r="G34" s="24">
        <v>0.75</v>
      </c>
      <c r="H34" s="31">
        <v>100</v>
      </c>
      <c r="I34" s="11" t="s">
        <v>201</v>
      </c>
      <c r="L34" s="11"/>
    </row>
    <row r="35" spans="2:12" x14ac:dyDescent="0.3">
      <c r="B35" s="29" t="s">
        <v>203</v>
      </c>
      <c r="C35" s="29" t="s">
        <v>102</v>
      </c>
      <c r="D35" s="24"/>
      <c r="E35" s="31"/>
      <c r="F35" s="11"/>
      <c r="G35" s="24"/>
      <c r="I35" s="11"/>
      <c r="J35">
        <v>1</v>
      </c>
      <c r="K35">
        <v>100</v>
      </c>
      <c r="L35" s="11"/>
    </row>
    <row r="36" spans="2:12" x14ac:dyDescent="0.3">
      <c r="B36" s="29" t="s">
        <v>202</v>
      </c>
      <c r="C36" s="29" t="s">
        <v>102</v>
      </c>
      <c r="D36" s="24"/>
      <c r="E36" s="31"/>
      <c r="F36" s="11"/>
      <c r="G36" s="24"/>
      <c r="I36" s="11"/>
      <c r="J36">
        <v>3</v>
      </c>
      <c r="K36">
        <v>100</v>
      </c>
      <c r="L36" s="11"/>
    </row>
    <row r="37" spans="2:12" x14ac:dyDescent="0.3">
      <c r="B37" s="29" t="s">
        <v>204</v>
      </c>
      <c r="C37" s="29" t="s">
        <v>102</v>
      </c>
      <c r="D37" s="24"/>
      <c r="E37" s="31"/>
      <c r="F37" s="11"/>
      <c r="G37" s="24"/>
      <c r="I37" s="11"/>
      <c r="J37">
        <v>0.25</v>
      </c>
      <c r="K37">
        <v>100</v>
      </c>
      <c r="L37" s="11"/>
    </row>
    <row r="38" spans="2:12" x14ac:dyDescent="0.3">
      <c r="B38" s="29" t="s">
        <v>205</v>
      </c>
      <c r="C38" s="29" t="s">
        <v>102</v>
      </c>
      <c r="D38" s="24"/>
      <c r="E38" s="31"/>
      <c r="F38" s="11"/>
      <c r="G38" s="24"/>
      <c r="I38" s="11"/>
      <c r="J38">
        <v>1</v>
      </c>
      <c r="K38">
        <v>100</v>
      </c>
      <c r="L38" s="11"/>
    </row>
    <row r="39" spans="2:12" x14ac:dyDescent="0.3">
      <c r="B39" s="29" t="s">
        <v>206</v>
      </c>
      <c r="C39" s="29" t="s">
        <v>102</v>
      </c>
      <c r="D39" s="24"/>
      <c r="E39" s="31"/>
      <c r="F39" s="11"/>
      <c r="G39" s="24"/>
      <c r="I39" s="11"/>
      <c r="J39">
        <v>2</v>
      </c>
      <c r="K39">
        <v>100</v>
      </c>
      <c r="L39" s="11"/>
    </row>
    <row r="40" spans="2:12" x14ac:dyDescent="0.3">
      <c r="B40" s="29" t="s">
        <v>207</v>
      </c>
      <c r="C40" s="29" t="s">
        <v>102</v>
      </c>
      <c r="D40" s="24"/>
      <c r="E40" s="31"/>
      <c r="F40" s="11"/>
      <c r="G40" s="24"/>
      <c r="I40" s="11"/>
      <c r="J40">
        <v>0.75</v>
      </c>
      <c r="K40">
        <v>100</v>
      </c>
      <c r="L40" s="11"/>
    </row>
    <row r="41" spans="2:12" x14ac:dyDescent="0.3">
      <c r="B41" s="29" t="s">
        <v>208</v>
      </c>
      <c r="C41" s="29" t="s">
        <v>102</v>
      </c>
      <c r="D41" s="24"/>
      <c r="E41" s="31"/>
      <c r="F41" s="11"/>
      <c r="G41" s="24"/>
      <c r="I41" s="11"/>
      <c r="J41">
        <v>0.3</v>
      </c>
      <c r="K41">
        <v>100</v>
      </c>
      <c r="L41" s="11" t="s">
        <v>236</v>
      </c>
    </row>
    <row r="42" spans="2:12" x14ac:dyDescent="0.3">
      <c r="B42" s="29" t="s">
        <v>54</v>
      </c>
      <c r="C42" s="29" t="s">
        <v>102</v>
      </c>
      <c r="D42" s="24"/>
      <c r="E42" s="31"/>
      <c r="F42" s="11"/>
      <c r="G42" s="24"/>
      <c r="I42" s="11"/>
      <c r="J42">
        <v>0.5</v>
      </c>
      <c r="K42">
        <v>100</v>
      </c>
      <c r="L42" s="11"/>
    </row>
    <row r="43" spans="2:12" x14ac:dyDescent="0.3">
      <c r="B43" s="29" t="s">
        <v>210</v>
      </c>
      <c r="C43" s="29" t="s">
        <v>102</v>
      </c>
      <c r="D43" s="24"/>
      <c r="E43" s="31"/>
      <c r="F43" s="11"/>
      <c r="G43" s="24"/>
      <c r="I43" s="11"/>
      <c r="J43">
        <v>1</v>
      </c>
      <c r="K43">
        <v>100</v>
      </c>
      <c r="L43" s="11"/>
    </row>
    <row r="44" spans="2:12" x14ac:dyDescent="0.3">
      <c r="B44" s="29" t="s">
        <v>209</v>
      </c>
      <c r="C44" s="29" t="s">
        <v>102</v>
      </c>
      <c r="D44" s="24"/>
      <c r="E44" s="31"/>
      <c r="F44" s="11"/>
      <c r="G44" s="24"/>
      <c r="I44" s="11"/>
      <c r="J44">
        <v>1</v>
      </c>
      <c r="K44">
        <v>100</v>
      </c>
      <c r="L44" s="11"/>
    </row>
    <row r="45" spans="2:12" x14ac:dyDescent="0.3">
      <c r="B45" s="58" t="s">
        <v>181</v>
      </c>
      <c r="C45" s="7" t="s">
        <v>103</v>
      </c>
      <c r="D45" s="24">
        <v>0.5</v>
      </c>
      <c r="E45" s="31">
        <v>100</v>
      </c>
      <c r="F45" s="11"/>
      <c r="G45" s="24"/>
      <c r="I45" s="11"/>
      <c r="L45" s="11"/>
    </row>
    <row r="46" spans="2:12" x14ac:dyDescent="0.3">
      <c r="B46" s="58" t="s">
        <v>84</v>
      </c>
      <c r="C46" s="7" t="s">
        <v>103</v>
      </c>
      <c r="D46" s="24">
        <v>0.5</v>
      </c>
      <c r="E46" s="31">
        <v>100</v>
      </c>
      <c r="F46" s="11"/>
      <c r="G46" s="24"/>
      <c r="I46" s="11"/>
      <c r="L46" s="11"/>
    </row>
    <row r="47" spans="2:12" ht="57.6" x14ac:dyDescent="0.3">
      <c r="B47" s="58" t="s">
        <v>83</v>
      </c>
      <c r="C47" s="7" t="s">
        <v>103</v>
      </c>
      <c r="D47" s="24">
        <v>1</v>
      </c>
      <c r="E47" s="31">
        <v>50</v>
      </c>
      <c r="F47" s="11"/>
      <c r="G47" s="24">
        <v>2</v>
      </c>
      <c r="H47" s="31">
        <v>100</v>
      </c>
      <c r="I47" s="40" t="s">
        <v>242</v>
      </c>
      <c r="L47" s="11"/>
    </row>
    <row r="48" spans="2:12" x14ac:dyDescent="0.3">
      <c r="B48" s="58" t="s">
        <v>81</v>
      </c>
      <c r="C48" s="7" t="s">
        <v>103</v>
      </c>
      <c r="D48" s="24">
        <v>0.5</v>
      </c>
      <c r="E48" s="31">
        <v>100</v>
      </c>
      <c r="F48" s="11"/>
      <c r="G48" s="24"/>
      <c r="I48" s="11"/>
      <c r="L48" s="11"/>
    </row>
    <row r="49" spans="2:12" x14ac:dyDescent="0.3">
      <c r="B49" s="58" t="s">
        <v>60</v>
      </c>
      <c r="C49" s="7" t="s">
        <v>103</v>
      </c>
      <c r="D49" s="24">
        <v>1.5</v>
      </c>
      <c r="E49" s="31">
        <v>100</v>
      </c>
      <c r="F49" s="11"/>
      <c r="G49" s="24"/>
      <c r="I49" s="11"/>
      <c r="L49" s="11"/>
    </row>
    <row r="50" spans="2:12" x14ac:dyDescent="0.3">
      <c r="B50" s="58" t="s">
        <v>223</v>
      </c>
      <c r="C50" s="7" t="s">
        <v>103</v>
      </c>
      <c r="D50" s="24">
        <v>2</v>
      </c>
      <c r="E50" s="31">
        <v>25</v>
      </c>
      <c r="F50" s="11"/>
      <c r="G50" s="24">
        <v>3</v>
      </c>
      <c r="H50" s="31">
        <v>100</v>
      </c>
      <c r="I50" s="11"/>
      <c r="L50" s="11"/>
    </row>
    <row r="51" spans="2:12" x14ac:dyDescent="0.3">
      <c r="B51" s="58" t="s">
        <v>219</v>
      </c>
      <c r="C51" s="7" t="s">
        <v>103</v>
      </c>
      <c r="D51" s="24">
        <v>1.5</v>
      </c>
      <c r="E51" s="31">
        <v>75</v>
      </c>
      <c r="G51" s="24"/>
      <c r="I51" s="11"/>
      <c r="J51">
        <v>3</v>
      </c>
      <c r="K51">
        <v>100</v>
      </c>
      <c r="L51" s="11"/>
    </row>
    <row r="52" spans="2:12" x14ac:dyDescent="0.3">
      <c r="B52" s="58" t="s">
        <v>56</v>
      </c>
      <c r="C52" s="7" t="s">
        <v>103</v>
      </c>
      <c r="D52" s="24">
        <v>0.5</v>
      </c>
      <c r="E52" s="31">
        <v>100</v>
      </c>
      <c r="F52" s="11"/>
      <c r="G52" s="24"/>
      <c r="I52" s="11"/>
      <c r="L52" s="11"/>
    </row>
    <row r="53" spans="2:12" x14ac:dyDescent="0.3">
      <c r="B53" s="58" t="s">
        <v>57</v>
      </c>
      <c r="C53" s="7" t="s">
        <v>103</v>
      </c>
      <c r="D53" s="24">
        <v>0.75</v>
      </c>
      <c r="E53" s="31">
        <v>100</v>
      </c>
      <c r="F53" s="11"/>
      <c r="G53" s="24"/>
      <c r="I53" s="11"/>
      <c r="L53" s="11"/>
    </row>
    <row r="54" spans="2:12" x14ac:dyDescent="0.3">
      <c r="B54" s="58" t="s">
        <v>55</v>
      </c>
      <c r="C54" s="7" t="s">
        <v>103</v>
      </c>
      <c r="D54" s="24">
        <v>1</v>
      </c>
      <c r="E54" s="31">
        <v>100</v>
      </c>
      <c r="G54" s="24"/>
      <c r="I54" s="11"/>
      <c r="L54" s="11"/>
    </row>
    <row r="55" spans="2:12" x14ac:dyDescent="0.3">
      <c r="B55" s="58" t="s">
        <v>58</v>
      </c>
      <c r="C55" s="7" t="s">
        <v>103</v>
      </c>
      <c r="D55" s="24">
        <v>0.5</v>
      </c>
      <c r="E55" s="31">
        <v>100</v>
      </c>
      <c r="F55" s="11"/>
      <c r="G55" s="24"/>
      <c r="I55" s="11"/>
      <c r="L55" s="11"/>
    </row>
    <row r="56" spans="2:12" x14ac:dyDescent="0.3">
      <c r="B56" s="58" t="s">
        <v>243</v>
      </c>
      <c r="C56" s="7" t="s">
        <v>103</v>
      </c>
      <c r="D56" s="24">
        <v>0.25</v>
      </c>
      <c r="E56" s="31">
        <v>100</v>
      </c>
      <c r="G56" s="24"/>
      <c r="I56" s="11"/>
      <c r="L56" s="11"/>
    </row>
    <row r="57" spans="2:12" x14ac:dyDescent="0.3">
      <c r="B57" s="58" t="s">
        <v>220</v>
      </c>
      <c r="C57" s="7" t="s">
        <v>103</v>
      </c>
      <c r="D57" s="24"/>
      <c r="G57" s="24">
        <v>2</v>
      </c>
      <c r="H57" s="31">
        <v>25</v>
      </c>
      <c r="I57" s="11"/>
      <c r="J57">
        <v>2</v>
      </c>
      <c r="K57">
        <v>100</v>
      </c>
      <c r="L57" s="11"/>
    </row>
    <row r="58" spans="2:12" ht="43.2" x14ac:dyDescent="0.3">
      <c r="B58" s="58" t="s">
        <v>200</v>
      </c>
      <c r="C58" s="7" t="s">
        <v>103</v>
      </c>
      <c r="D58" s="24"/>
      <c r="G58" s="24">
        <v>1.5</v>
      </c>
      <c r="H58" s="31">
        <v>75</v>
      </c>
      <c r="I58" s="11" t="s">
        <v>213</v>
      </c>
      <c r="J58">
        <v>2</v>
      </c>
      <c r="K58">
        <v>100</v>
      </c>
      <c r="L58" s="40" t="s">
        <v>214</v>
      </c>
    </row>
    <row r="59" spans="2:12" x14ac:dyDescent="0.3">
      <c r="B59" s="58" t="s">
        <v>211</v>
      </c>
      <c r="C59" s="7" t="s">
        <v>103</v>
      </c>
      <c r="D59" s="24"/>
      <c r="G59" s="24"/>
      <c r="I59" s="11"/>
      <c r="J59">
        <v>0.5</v>
      </c>
      <c r="K59">
        <v>100</v>
      </c>
      <c r="L59" s="11"/>
    </row>
    <row r="60" spans="2:12" ht="15" thickBot="1" x14ac:dyDescent="0.35">
      <c r="B60" s="64" t="s">
        <v>212</v>
      </c>
      <c r="C60" s="65" t="s">
        <v>103</v>
      </c>
      <c r="D60" s="66"/>
      <c r="E60" s="67"/>
      <c r="F60" s="67"/>
      <c r="G60" s="66"/>
      <c r="H60" s="68"/>
      <c r="I60" s="69"/>
      <c r="J60" s="67">
        <v>0.5</v>
      </c>
      <c r="K60" s="67">
        <v>100</v>
      </c>
      <c r="L60" s="69"/>
    </row>
  </sheetData>
  <autoFilter ref="B4:L5" xr:uid="{2EE69061-1192-400C-B500-1B4897FD0585}"/>
  <mergeCells count="6">
    <mergeCell ref="B1:L1"/>
    <mergeCell ref="B4:B5"/>
    <mergeCell ref="C4:C5"/>
    <mergeCell ref="F4:F5"/>
    <mergeCell ref="I4:I5"/>
    <mergeCell ref="L4:L5"/>
  </mergeCells>
  <phoneticPr fontId="4" type="noConversion"/>
  <conditionalFormatting sqref="B1 B4:B60">
    <cfRule type="expression" dxfId="35" priority="49">
      <formula>MAX($E1,$H1,$K1)=100</formula>
    </cfRule>
  </conditionalFormatting>
  <conditionalFormatting sqref="B42">
    <cfRule type="expression" dxfId="34" priority="89">
      <formula>MAX(#REF!,#REF!,#REF!)=100</formula>
    </cfRule>
  </conditionalFormatting>
  <conditionalFormatting sqref="C1 C4:C60">
    <cfRule type="expression" dxfId="33" priority="46">
      <formula>$C1="Charlotte/Eddy"</formula>
    </cfRule>
    <cfRule type="expression" dxfId="32" priority="47">
      <formula>$C1="Charlotte"</formula>
    </cfRule>
    <cfRule type="expression" dxfId="31" priority="48">
      <formula>$C1="Eddy"</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2E41-CCB4-4A52-8A11-897838372758}">
  <sheetPr>
    <tabColor rgb="FF7030A0"/>
  </sheetPr>
  <dimension ref="B1:E10"/>
  <sheetViews>
    <sheetView zoomScale="115" zoomScaleNormal="115" workbookViewId="0">
      <selection activeCell="B11" sqref="B11"/>
    </sheetView>
  </sheetViews>
  <sheetFormatPr baseColWidth="10" defaultRowHeight="14.4" x14ac:dyDescent="0.3"/>
  <cols>
    <col min="1" max="1" width="1.77734375" customWidth="1"/>
    <col min="2" max="2" width="81.5546875" customWidth="1"/>
    <col min="3" max="3" width="81" style="61" customWidth="1"/>
    <col min="4" max="4" width="19.77734375" customWidth="1"/>
    <col min="5" max="5" width="28.21875" bestFit="1" customWidth="1"/>
  </cols>
  <sheetData>
    <row r="1" spans="2:5" ht="46.2" x14ac:dyDescent="0.85">
      <c r="B1" s="1" t="s">
        <v>20</v>
      </c>
    </row>
    <row r="3" spans="2:5" ht="21.6" thickBot="1" x14ac:dyDescent="0.45">
      <c r="B3" s="8" t="s">
        <v>224</v>
      </c>
      <c r="C3" s="63" t="s">
        <v>225</v>
      </c>
      <c r="D3" s="8" t="s">
        <v>7</v>
      </c>
      <c r="E3" s="8" t="s">
        <v>5</v>
      </c>
    </row>
    <row r="4" spans="2:5" ht="28.8" x14ac:dyDescent="0.3">
      <c r="B4" s="70" t="s">
        <v>226</v>
      </c>
      <c r="C4" s="71" t="s">
        <v>227</v>
      </c>
      <c r="D4" s="72" t="s">
        <v>228</v>
      </c>
      <c r="E4" s="73">
        <v>4</v>
      </c>
    </row>
    <row r="5" spans="2:5" ht="28.8" x14ac:dyDescent="0.3">
      <c r="B5" s="74" t="s">
        <v>240</v>
      </c>
      <c r="C5" s="62" t="s">
        <v>238</v>
      </c>
      <c r="D5" s="75" t="s">
        <v>103</v>
      </c>
      <c r="E5" s="76">
        <v>20</v>
      </c>
    </row>
    <row r="6" spans="2:5" ht="43.2" x14ac:dyDescent="0.3">
      <c r="B6" s="84" t="s">
        <v>241</v>
      </c>
      <c r="C6" s="85" t="s">
        <v>232</v>
      </c>
      <c r="D6" s="75" t="s">
        <v>102</v>
      </c>
      <c r="E6" s="76">
        <v>6</v>
      </c>
    </row>
    <row r="7" spans="2:5" x14ac:dyDescent="0.3">
      <c r="B7" s="84" t="s">
        <v>230</v>
      </c>
      <c r="C7" s="85" t="s">
        <v>231</v>
      </c>
      <c r="D7" s="75" t="s">
        <v>102</v>
      </c>
      <c r="E7" s="76">
        <v>1.25</v>
      </c>
    </row>
    <row r="8" spans="2:5" ht="43.2" x14ac:dyDescent="0.3">
      <c r="B8" s="74" t="s">
        <v>233</v>
      </c>
      <c r="C8" s="62" t="s">
        <v>234</v>
      </c>
      <c r="D8" s="75" t="s">
        <v>228</v>
      </c>
      <c r="E8" s="76">
        <v>6</v>
      </c>
    </row>
    <row r="9" spans="2:5" ht="43.2" x14ac:dyDescent="0.3">
      <c r="B9" s="74" t="s">
        <v>179</v>
      </c>
      <c r="C9" s="62" t="s">
        <v>237</v>
      </c>
      <c r="D9" s="75" t="s">
        <v>228</v>
      </c>
      <c r="E9" s="76">
        <v>8</v>
      </c>
    </row>
    <row r="10" spans="2:5" ht="29.4" thickBot="1" x14ac:dyDescent="0.35">
      <c r="B10" s="77" t="s">
        <v>68</v>
      </c>
      <c r="C10" s="78" t="s">
        <v>235</v>
      </c>
      <c r="D10" s="79"/>
      <c r="E10" s="80"/>
    </row>
  </sheetData>
  <conditionalFormatting sqref="B10">
    <cfRule type="expression" dxfId="30" priority="157">
      <formula>MAX(#REF!,#REF!,#REF!)=100</formula>
    </cfRule>
    <cfRule type="expression" dxfId="29" priority="158">
      <formula>MAX(#REF!,#REF!,#REF!)=100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ECEB1-A674-4E9A-9A60-FE266B1759EE}">
  <sheetPr>
    <tabColor theme="9"/>
  </sheetPr>
  <dimension ref="B2:O34"/>
  <sheetViews>
    <sheetView tabSelected="1" topLeftCell="A4" zoomScaleNormal="100" workbookViewId="0">
      <selection activeCell="G24" sqref="G24"/>
    </sheetView>
  </sheetViews>
  <sheetFormatPr baseColWidth="10" defaultRowHeight="14.4" x14ac:dyDescent="0.3"/>
  <cols>
    <col min="1" max="1" width="1.77734375" customWidth="1"/>
    <col min="2" max="2" width="75" bestFit="1" customWidth="1"/>
    <col min="3" max="3" width="17.44140625" bestFit="1" customWidth="1"/>
    <col min="4" max="4" width="20.21875" customWidth="1"/>
    <col min="5" max="5" width="20.77734375" bestFit="1" customWidth="1"/>
    <col min="6" max="6" width="40.77734375" bestFit="1" customWidth="1"/>
    <col min="7" max="7" width="20.44140625" customWidth="1"/>
    <col min="8" max="8" width="20.77734375" bestFit="1" customWidth="1"/>
    <col min="9" max="9" width="19.77734375" bestFit="1" customWidth="1"/>
    <col min="10" max="10" width="20.21875" customWidth="1"/>
    <col min="11" max="11" width="16.21875" bestFit="1" customWidth="1"/>
    <col min="12" max="12" width="18.77734375" bestFit="1" customWidth="1"/>
    <col min="13" max="13" width="16.21875" bestFit="1" customWidth="1"/>
    <col min="14" max="14" width="21.109375" bestFit="1" customWidth="1"/>
    <col min="15" max="15" width="19.77734375" bestFit="1" customWidth="1"/>
  </cols>
  <sheetData>
    <row r="2" spans="2:15" ht="46.2" x14ac:dyDescent="0.85">
      <c r="B2" s="98" t="s">
        <v>17</v>
      </c>
      <c r="C2" s="99"/>
      <c r="D2" s="99"/>
      <c r="E2" s="99"/>
      <c r="F2" s="99"/>
      <c r="G2" s="99"/>
      <c r="H2" s="99"/>
      <c r="I2" s="99"/>
      <c r="J2" s="99"/>
      <c r="K2" s="99"/>
      <c r="L2" s="99"/>
      <c r="M2" s="99"/>
      <c r="N2" s="99"/>
      <c r="O2" s="99"/>
    </row>
    <row r="5" spans="2:15" ht="15" thickBot="1" x14ac:dyDescent="0.35"/>
    <row r="6" spans="2:15" ht="21" x14ac:dyDescent="0.4">
      <c r="B6" s="92" t="s">
        <v>1</v>
      </c>
      <c r="C6" s="94" t="s">
        <v>7</v>
      </c>
      <c r="D6" s="42" t="s">
        <v>13</v>
      </c>
      <c r="E6" s="43">
        <v>46139</v>
      </c>
      <c r="F6" s="96" t="s">
        <v>12</v>
      </c>
      <c r="G6" s="60" t="s">
        <v>14</v>
      </c>
      <c r="H6" s="43">
        <v>46146</v>
      </c>
      <c r="I6" s="96" t="s">
        <v>12</v>
      </c>
      <c r="J6" s="45" t="s">
        <v>15</v>
      </c>
      <c r="K6" s="43">
        <v>46153</v>
      </c>
      <c r="L6" s="96" t="s">
        <v>12</v>
      </c>
      <c r="M6" s="45" t="s">
        <v>19</v>
      </c>
      <c r="N6" s="43">
        <v>46160</v>
      </c>
      <c r="O6" s="96" t="s">
        <v>12</v>
      </c>
    </row>
    <row r="7" spans="2:15" ht="21.6" thickBot="1" x14ac:dyDescent="0.45">
      <c r="B7" s="93"/>
      <c r="C7" s="95"/>
      <c r="D7" s="42" t="s">
        <v>10</v>
      </c>
      <c r="E7" s="44" t="s">
        <v>11</v>
      </c>
      <c r="F7" s="97"/>
      <c r="G7" s="59" t="s">
        <v>10</v>
      </c>
      <c r="H7" s="59" t="s">
        <v>11</v>
      </c>
      <c r="I7" s="97"/>
      <c r="J7" s="44" t="s">
        <v>10</v>
      </c>
      <c r="K7" s="44" t="s">
        <v>11</v>
      </c>
      <c r="L7" s="97"/>
      <c r="M7" s="44" t="s">
        <v>10</v>
      </c>
      <c r="N7" s="44" t="s">
        <v>11</v>
      </c>
      <c r="O7" s="97"/>
    </row>
    <row r="8" spans="2:15" x14ac:dyDescent="0.3">
      <c r="B8" s="83" t="s">
        <v>68</v>
      </c>
      <c r="C8" s="29" t="s">
        <v>102</v>
      </c>
      <c r="D8" s="24"/>
      <c r="E8" s="81">
        <v>0</v>
      </c>
      <c r="F8" s="11" t="s">
        <v>229</v>
      </c>
      <c r="G8" s="24"/>
      <c r="H8" s="31"/>
      <c r="I8" s="11"/>
      <c r="J8" s="24"/>
      <c r="K8" s="31"/>
      <c r="L8" s="11"/>
      <c r="M8" s="24"/>
      <c r="N8" s="31"/>
      <c r="O8" s="11"/>
    </row>
    <row r="9" spans="2:15" x14ac:dyDescent="0.3">
      <c r="B9" s="83" t="s">
        <v>257</v>
      </c>
      <c r="C9" s="29" t="s">
        <v>102</v>
      </c>
      <c r="D9" s="24">
        <v>1.5</v>
      </c>
      <c r="E9" s="31">
        <v>100</v>
      </c>
      <c r="F9" s="11"/>
      <c r="G9" s="24"/>
      <c r="H9" s="31"/>
      <c r="I9" s="11"/>
      <c r="J9" s="24"/>
      <c r="K9" s="31"/>
      <c r="L9" s="11"/>
      <c r="M9" s="24"/>
      <c r="N9" s="31"/>
      <c r="O9" s="11"/>
    </row>
    <row r="10" spans="2:15" x14ac:dyDescent="0.3">
      <c r="B10" s="83" t="s">
        <v>246</v>
      </c>
      <c r="C10" s="29" t="s">
        <v>102</v>
      </c>
      <c r="D10" s="24">
        <v>0.5</v>
      </c>
      <c r="E10" s="31">
        <v>100</v>
      </c>
      <c r="F10" s="11"/>
      <c r="G10" s="24"/>
      <c r="H10" s="31"/>
      <c r="I10" s="11"/>
      <c r="J10" s="24"/>
      <c r="K10" s="31"/>
      <c r="L10" s="11"/>
      <c r="M10" s="24"/>
      <c r="N10" s="31"/>
      <c r="O10" s="11"/>
    </row>
    <row r="11" spans="2:15" x14ac:dyDescent="0.3">
      <c r="B11" s="83" t="s">
        <v>244</v>
      </c>
      <c r="C11" s="29" t="s">
        <v>102</v>
      </c>
      <c r="D11" s="24">
        <v>1</v>
      </c>
      <c r="E11" s="31">
        <v>100</v>
      </c>
      <c r="F11" s="11"/>
      <c r="G11" s="24"/>
      <c r="H11" s="31"/>
      <c r="I11" s="11"/>
      <c r="J11" s="24"/>
      <c r="K11" s="31"/>
      <c r="L11" s="11"/>
      <c r="M11" s="24"/>
      <c r="N11" s="31"/>
      <c r="O11" s="11"/>
    </row>
    <row r="12" spans="2:15" x14ac:dyDescent="0.3">
      <c r="B12" s="83" t="s">
        <v>258</v>
      </c>
      <c r="C12" s="29" t="s">
        <v>102</v>
      </c>
      <c r="D12" s="82">
        <v>1</v>
      </c>
      <c r="E12" s="31">
        <v>100</v>
      </c>
      <c r="F12" s="75"/>
      <c r="G12" s="24"/>
      <c r="H12" s="31"/>
      <c r="I12" s="11"/>
      <c r="J12" s="24"/>
      <c r="K12" s="31"/>
      <c r="L12" s="11"/>
      <c r="M12" s="24"/>
      <c r="N12" s="31"/>
      <c r="O12" s="11"/>
    </row>
    <row r="13" spans="2:15" x14ac:dyDescent="0.3">
      <c r="B13" s="29" t="s">
        <v>247</v>
      </c>
      <c r="C13" s="29" t="s">
        <v>102</v>
      </c>
      <c r="D13" s="82">
        <v>0.5</v>
      </c>
      <c r="E13" s="31">
        <v>100</v>
      </c>
      <c r="F13" s="75"/>
      <c r="G13" s="24"/>
      <c r="H13" s="31"/>
      <c r="I13" s="11"/>
      <c r="J13" s="24"/>
      <c r="K13" s="31"/>
      <c r="L13" s="11"/>
      <c r="M13" s="24"/>
      <c r="N13" s="31"/>
      <c r="O13" s="11"/>
    </row>
    <row r="14" spans="2:15" x14ac:dyDescent="0.3">
      <c r="B14" s="29" t="s">
        <v>248</v>
      </c>
      <c r="C14" s="29" t="s">
        <v>102</v>
      </c>
      <c r="D14" s="82">
        <v>0.15</v>
      </c>
      <c r="E14" s="31">
        <v>100</v>
      </c>
      <c r="F14" s="75"/>
      <c r="G14" s="24"/>
      <c r="H14" s="31"/>
      <c r="I14" s="11"/>
      <c r="J14" s="24"/>
      <c r="K14" s="31"/>
      <c r="L14" s="11"/>
      <c r="M14" s="24"/>
      <c r="N14" s="31"/>
      <c r="O14" s="11"/>
    </row>
    <row r="15" spans="2:15" x14ac:dyDescent="0.3">
      <c r="B15" s="29" t="s">
        <v>255</v>
      </c>
      <c r="C15" s="29" t="s">
        <v>102</v>
      </c>
      <c r="D15" s="82">
        <v>0.5</v>
      </c>
      <c r="E15" s="31">
        <v>100</v>
      </c>
      <c r="F15" s="75"/>
      <c r="G15" s="24"/>
      <c r="H15" s="31"/>
      <c r="I15" s="11"/>
      <c r="J15" s="24"/>
      <c r="K15" s="31"/>
      <c r="L15" s="11"/>
      <c r="M15" s="24"/>
      <c r="N15" s="31"/>
      <c r="O15" s="11"/>
    </row>
    <row r="16" spans="2:15" x14ac:dyDescent="0.3">
      <c r="B16" s="29" t="s">
        <v>249</v>
      </c>
      <c r="C16" s="29" t="s">
        <v>102</v>
      </c>
      <c r="D16" s="82">
        <v>0.3</v>
      </c>
      <c r="E16" s="31">
        <v>100</v>
      </c>
      <c r="F16" s="75"/>
      <c r="G16" s="24"/>
      <c r="H16" s="31"/>
      <c r="I16" s="11"/>
      <c r="J16" s="24"/>
      <c r="K16" s="31"/>
      <c r="L16" s="11"/>
      <c r="M16" s="24"/>
      <c r="N16" s="31"/>
      <c r="O16" s="11"/>
    </row>
    <row r="17" spans="2:15" x14ac:dyDescent="0.3">
      <c r="B17" s="29" t="s">
        <v>250</v>
      </c>
      <c r="C17" s="29" t="s">
        <v>102</v>
      </c>
      <c r="D17" s="82"/>
      <c r="E17" s="31"/>
      <c r="F17" s="75"/>
      <c r="G17" s="24">
        <v>3</v>
      </c>
      <c r="H17" s="31"/>
      <c r="I17" s="11"/>
      <c r="J17" s="24"/>
      <c r="K17" s="31"/>
      <c r="L17" s="11"/>
      <c r="M17" s="24"/>
      <c r="N17" s="31"/>
      <c r="O17" s="11"/>
    </row>
    <row r="18" spans="2:15" x14ac:dyDescent="0.3">
      <c r="B18" s="29" t="s">
        <v>251</v>
      </c>
      <c r="C18" s="29" t="s">
        <v>102</v>
      </c>
      <c r="D18" s="82"/>
      <c r="E18" s="31"/>
      <c r="F18" s="75"/>
      <c r="G18" s="24">
        <v>0.75</v>
      </c>
      <c r="H18" s="31"/>
      <c r="I18" s="11"/>
      <c r="J18" s="24"/>
      <c r="K18" s="31"/>
      <c r="L18" s="11"/>
      <c r="M18" s="24"/>
      <c r="N18" s="31"/>
      <c r="O18" s="11"/>
    </row>
    <row r="19" spans="2:15" x14ac:dyDescent="0.3">
      <c r="B19" s="29" t="s">
        <v>252</v>
      </c>
      <c r="C19" s="29" t="s">
        <v>102</v>
      </c>
      <c r="D19" s="82"/>
      <c r="E19" s="31"/>
      <c r="F19" s="75"/>
      <c r="G19" s="24">
        <v>1.25</v>
      </c>
      <c r="H19" s="31"/>
      <c r="I19" s="11"/>
      <c r="J19" s="24"/>
      <c r="K19" s="31"/>
      <c r="L19" s="11"/>
      <c r="M19" s="24"/>
      <c r="N19" s="31"/>
      <c r="O19" s="11"/>
    </row>
    <row r="20" spans="2:15" x14ac:dyDescent="0.3">
      <c r="B20" s="29" t="s">
        <v>253</v>
      </c>
      <c r="C20" s="29" t="s">
        <v>102</v>
      </c>
      <c r="D20" s="82"/>
      <c r="E20" s="31"/>
      <c r="F20" s="75"/>
      <c r="G20" s="24">
        <v>0.15</v>
      </c>
      <c r="H20" s="31"/>
      <c r="I20" s="11"/>
      <c r="J20" s="24"/>
      <c r="K20" s="31"/>
      <c r="L20" s="11"/>
      <c r="M20" s="24"/>
      <c r="N20" s="31"/>
      <c r="O20" s="11"/>
    </row>
    <row r="21" spans="2:15" x14ac:dyDescent="0.3">
      <c r="B21" s="29" t="s">
        <v>254</v>
      </c>
      <c r="C21" s="29" t="s">
        <v>102</v>
      </c>
      <c r="D21" s="82"/>
      <c r="E21" s="31"/>
      <c r="F21" s="75"/>
      <c r="G21" s="24">
        <v>0.5</v>
      </c>
      <c r="H21" s="31"/>
      <c r="I21" s="11"/>
      <c r="J21" s="24"/>
      <c r="K21" s="31"/>
      <c r="L21" s="11"/>
      <c r="M21" s="24"/>
      <c r="N21" s="31"/>
      <c r="O21" s="11"/>
    </row>
    <row r="22" spans="2:15" x14ac:dyDescent="0.3">
      <c r="B22" s="83" t="s">
        <v>256</v>
      </c>
      <c r="C22" s="29" t="s">
        <v>102</v>
      </c>
      <c r="D22" s="82"/>
      <c r="E22" s="31"/>
      <c r="F22" s="75"/>
      <c r="G22" s="24">
        <v>0.15</v>
      </c>
      <c r="H22" s="31"/>
      <c r="I22" s="11"/>
      <c r="J22" s="24"/>
      <c r="K22" s="31"/>
      <c r="L22" s="11"/>
      <c r="M22" s="24"/>
      <c r="N22" s="31"/>
      <c r="O22" s="11"/>
    </row>
    <row r="23" spans="2:15" x14ac:dyDescent="0.3">
      <c r="B23" s="87" t="s">
        <v>261</v>
      </c>
      <c r="C23" s="29" t="s">
        <v>102</v>
      </c>
      <c r="D23" s="24"/>
      <c r="E23" s="31"/>
      <c r="F23" s="11"/>
      <c r="G23" s="24">
        <v>0.15</v>
      </c>
      <c r="H23" s="31"/>
      <c r="I23" s="11"/>
      <c r="J23" s="24"/>
      <c r="K23" s="31"/>
      <c r="L23" s="11"/>
      <c r="M23" s="24"/>
      <c r="N23" s="31"/>
      <c r="O23" s="11"/>
    </row>
    <row r="24" spans="2:15" x14ac:dyDescent="0.3">
      <c r="B24" s="87" t="s">
        <v>262</v>
      </c>
      <c r="C24" s="29" t="s">
        <v>102</v>
      </c>
      <c r="D24" s="24"/>
      <c r="E24" s="31"/>
      <c r="F24" s="11"/>
      <c r="G24" s="24"/>
      <c r="H24" s="31"/>
      <c r="I24" s="11"/>
      <c r="J24" s="24"/>
      <c r="K24" s="31"/>
      <c r="L24" s="11"/>
      <c r="M24" s="24"/>
      <c r="N24" s="31"/>
      <c r="O24" s="11"/>
    </row>
    <row r="25" spans="2:15" ht="31.8" customHeight="1" x14ac:dyDescent="0.3">
      <c r="B25" s="88" t="s">
        <v>259</v>
      </c>
      <c r="C25" s="29" t="s">
        <v>102</v>
      </c>
      <c r="D25" s="24"/>
      <c r="E25" s="31"/>
      <c r="F25" s="11"/>
      <c r="G25" s="24"/>
      <c r="H25" s="31"/>
      <c r="I25" s="11"/>
      <c r="J25" s="24"/>
      <c r="K25" s="31"/>
      <c r="L25" s="11"/>
      <c r="M25" s="24"/>
      <c r="N25" s="31"/>
      <c r="O25" s="11"/>
    </row>
    <row r="26" spans="2:15" x14ac:dyDescent="0.3">
      <c r="B26" s="86" t="s">
        <v>260</v>
      </c>
      <c r="C26" s="29" t="s">
        <v>102</v>
      </c>
      <c r="D26" s="24"/>
      <c r="E26" s="31"/>
      <c r="F26" s="11"/>
      <c r="G26" s="24"/>
      <c r="H26" s="31"/>
      <c r="I26" s="11"/>
      <c r="J26" s="24"/>
      <c r="K26" s="31"/>
      <c r="L26" s="11"/>
      <c r="M26" s="24"/>
      <c r="N26" s="31"/>
      <c r="O26" s="11"/>
    </row>
    <row r="27" spans="2:15" x14ac:dyDescent="0.3">
      <c r="B27" s="29" t="s">
        <v>245</v>
      </c>
      <c r="C27" s="29" t="s">
        <v>102</v>
      </c>
      <c r="D27" s="24"/>
      <c r="E27" s="31"/>
      <c r="F27" s="11"/>
      <c r="G27" s="24"/>
      <c r="H27" s="31"/>
      <c r="I27" s="11"/>
      <c r="J27" s="24"/>
      <c r="K27" s="31"/>
      <c r="L27" s="11"/>
      <c r="M27" s="24"/>
      <c r="N27" s="31"/>
      <c r="O27" s="11"/>
    </row>
    <row r="28" spans="2:15" x14ac:dyDescent="0.3">
      <c r="B28" s="29" t="s">
        <v>215</v>
      </c>
      <c r="C28" s="29" t="s">
        <v>103</v>
      </c>
      <c r="D28" s="24"/>
      <c r="E28" s="31"/>
      <c r="F28" s="11"/>
      <c r="G28" s="24"/>
      <c r="H28" s="31"/>
      <c r="I28" s="11"/>
      <c r="J28" s="24"/>
      <c r="K28" s="31"/>
      <c r="L28" s="11"/>
      <c r="M28" s="24"/>
      <c r="N28" s="31"/>
      <c r="O28" s="11"/>
    </row>
    <row r="29" spans="2:15" x14ac:dyDescent="0.3">
      <c r="B29" s="29" t="s">
        <v>216</v>
      </c>
      <c r="C29" s="29" t="s">
        <v>103</v>
      </c>
      <c r="D29" s="24"/>
      <c r="E29" s="31"/>
      <c r="F29" s="11"/>
      <c r="G29" s="24"/>
      <c r="H29" s="31"/>
      <c r="I29" s="11"/>
      <c r="J29" s="24"/>
      <c r="K29" s="31"/>
      <c r="L29" s="11"/>
      <c r="M29" s="24"/>
      <c r="N29" s="31"/>
      <c r="O29" s="11"/>
    </row>
    <row r="30" spans="2:15" x14ac:dyDescent="0.3">
      <c r="B30" s="29" t="s">
        <v>221</v>
      </c>
      <c r="C30" s="29" t="s">
        <v>103</v>
      </c>
      <c r="D30" s="24"/>
      <c r="E30" s="31"/>
      <c r="F30" s="11"/>
      <c r="G30" s="24"/>
      <c r="H30" s="31"/>
      <c r="I30" s="11"/>
      <c r="J30" s="24"/>
      <c r="K30" s="31"/>
      <c r="L30" s="11"/>
      <c r="M30" s="24"/>
      <c r="N30" s="31"/>
      <c r="O30" s="11"/>
    </row>
    <row r="31" spans="2:15" x14ac:dyDescent="0.3">
      <c r="B31" s="29" t="s">
        <v>217</v>
      </c>
      <c r="C31" s="29" t="s">
        <v>103</v>
      </c>
      <c r="D31" s="24"/>
      <c r="E31" s="31"/>
      <c r="F31" s="11"/>
      <c r="G31" s="24"/>
      <c r="H31" s="31"/>
      <c r="I31" s="11"/>
      <c r="J31" s="24"/>
      <c r="K31" s="31"/>
      <c r="L31" s="11"/>
      <c r="M31" s="24"/>
      <c r="N31" s="31"/>
      <c r="O31" s="11"/>
    </row>
    <row r="32" spans="2:15" x14ac:dyDescent="0.3">
      <c r="B32" s="29" t="s">
        <v>218</v>
      </c>
      <c r="C32" s="29" t="s">
        <v>103</v>
      </c>
      <c r="D32" s="24"/>
      <c r="E32" s="31"/>
      <c r="F32" s="11"/>
      <c r="G32" s="24"/>
      <c r="H32" s="31"/>
      <c r="I32" s="11"/>
      <c r="J32" s="24"/>
      <c r="K32" s="31"/>
      <c r="L32" s="11"/>
      <c r="M32" s="24"/>
      <c r="N32" s="31"/>
      <c r="O32" s="11"/>
    </row>
    <row r="33" spans="2:15" x14ac:dyDescent="0.3">
      <c r="B33" s="29" t="s">
        <v>222</v>
      </c>
      <c r="C33" s="29" t="s">
        <v>103</v>
      </c>
      <c r="D33" s="24"/>
      <c r="E33" s="31"/>
      <c r="F33" s="11"/>
      <c r="G33" s="24"/>
      <c r="H33" s="31"/>
      <c r="I33" s="11"/>
      <c r="J33" s="24"/>
      <c r="K33" s="31"/>
      <c r="L33" s="11"/>
      <c r="M33" s="24"/>
      <c r="N33" s="31"/>
      <c r="O33" s="11"/>
    </row>
    <row r="34" spans="2:15" x14ac:dyDescent="0.3">
      <c r="B34" s="29" t="s">
        <v>239</v>
      </c>
      <c r="C34" s="29" t="s">
        <v>103</v>
      </c>
      <c r="D34" s="24"/>
      <c r="E34" s="31"/>
      <c r="F34" s="11"/>
      <c r="G34" s="24"/>
      <c r="H34" s="31"/>
      <c r="I34" s="11"/>
      <c r="J34" s="24"/>
      <c r="K34" s="31"/>
      <c r="L34" s="11"/>
      <c r="M34" s="24"/>
      <c r="N34" s="31"/>
      <c r="O34" s="11"/>
    </row>
  </sheetData>
  <mergeCells count="7">
    <mergeCell ref="B2:O2"/>
    <mergeCell ref="O6:O7"/>
    <mergeCell ref="B6:B7"/>
    <mergeCell ref="C6:C7"/>
    <mergeCell ref="F6:F7"/>
    <mergeCell ref="I6:I7"/>
    <mergeCell ref="L6:L7"/>
  </mergeCells>
  <conditionalFormatting sqref="B2 B6:B7 B23:B34">
    <cfRule type="expression" dxfId="28" priority="27">
      <formula>MAX($E2,$H2,$K2)=100</formula>
    </cfRule>
  </conditionalFormatting>
  <conditionalFormatting sqref="B27">
    <cfRule type="expression" dxfId="27" priority="145">
      <formula>MAX(#REF!,#REF!,#REF!)=100</formula>
    </cfRule>
  </conditionalFormatting>
  <conditionalFormatting sqref="B27">
    <cfRule type="expression" dxfId="26" priority="150">
      <formula>MAX($E33,$H33,$K33)=100</formula>
    </cfRule>
  </conditionalFormatting>
  <conditionalFormatting sqref="C6:C34">
    <cfRule type="expression" dxfId="25" priority="16">
      <formula>$C6="Charlotte/Eddy"</formula>
    </cfRule>
    <cfRule type="expression" dxfId="24" priority="17">
      <formula>$C6="Charlotte"</formula>
    </cfRule>
    <cfRule type="expression" dxfId="23" priority="18">
      <formula>$C6="Eddy"</formula>
    </cfRule>
  </conditionalFormatting>
  <conditionalFormatting sqref="B8">
    <cfRule type="expression" dxfId="22" priority="230">
      <formula>MAX($E25,$H25,$K25)=100</formula>
    </cfRule>
  </conditionalFormatting>
  <conditionalFormatting sqref="B14">
    <cfRule type="expression" dxfId="21" priority="232">
      <formula>MAX($E25,$H25,$K25)=100</formula>
    </cfRule>
  </conditionalFormatting>
  <conditionalFormatting sqref="B9:B19">
    <cfRule type="expression" dxfId="20" priority="248">
      <formula>MAX($E28,$H28,$K28)=100</formula>
    </cfRule>
  </conditionalFormatting>
  <conditionalFormatting sqref="B13">
    <cfRule type="expression" dxfId="19" priority="269">
      <formula>MAX(#REF!,#REF!,#REF!)=100</formula>
    </cfRule>
  </conditionalFormatting>
  <conditionalFormatting sqref="B8:B12">
    <cfRule type="expression" dxfId="18" priority="3">
      <formula>MAX($E17,$H17,$K17)=100</formula>
    </cfRule>
  </conditionalFormatting>
  <conditionalFormatting sqref="B23:B27">
    <cfRule type="expression" dxfId="17" priority="1">
      <formula>MAX(#REF!,#REF!,#REF!)=100</formula>
    </cfRule>
  </conditionalFormatting>
  <conditionalFormatting sqref="B15:B19">
    <cfRule type="expression" dxfId="16" priority="318">
      <formula>MAX($E28,$H28,$K28)=100</formula>
    </cfRule>
  </conditionalFormatting>
  <conditionalFormatting sqref="B9">
    <cfRule type="expression" dxfId="15" priority="349">
      <formula>MAX($E25,$H25,$K25)=100</formula>
    </cfRule>
    <cfRule type="expression" dxfId="14" priority="350">
      <formula>MAX($E5,$H5,$K5)=100</formula>
    </cfRule>
  </conditionalFormatting>
  <conditionalFormatting sqref="B25:B26">
    <cfRule type="expression" dxfId="13" priority="353">
      <formula>MAX($E32,$H32,$K32)=100</formula>
    </cfRule>
  </conditionalFormatting>
  <conditionalFormatting sqref="B20:B24">
    <cfRule type="expression" dxfId="12" priority="355">
      <formula>MAX($E38,$H38,$K38)=100</formula>
    </cfRule>
  </conditionalFormatting>
  <conditionalFormatting sqref="B20:B24">
    <cfRule type="expression" dxfId="11" priority="356">
      <formula>MAX($E32,$H32,$K32)=100</formula>
    </cfRule>
  </conditionalFormatting>
  <conditionalFormatting sqref="B8">
    <cfRule type="expression" dxfId="10" priority="369">
      <formula>MAX($E27,$H27,$K27)=100</formula>
    </cfRule>
    <cfRule type="expression" dxfId="9" priority="370">
      <formula>MAX($E4,$H4,$K4)=100</formula>
    </cfRule>
  </conditionalFormatting>
  <conditionalFormatting sqref="B23:B24">
    <cfRule type="expression" dxfId="8" priority="388">
      <formula>MAX($E34,$H34,$K34)=100</formula>
    </cfRule>
  </conditionalFormatting>
  <conditionalFormatting sqref="B23:B24">
    <cfRule type="expression" dxfId="7" priority="401">
      <formula>MAX($E11,$H11,$K11)=100</formula>
    </cfRule>
    <cfRule type="expression" dxfId="6" priority="402">
      <formula>MAX($E35,$H35,$K35)=100</formula>
    </cfRule>
  </conditionalFormatting>
  <conditionalFormatting sqref="B25:B26">
    <cfRule type="expression" dxfId="5" priority="403">
      <formula>MAX($E9,$H9,$K9)=100</formula>
    </cfRule>
    <cfRule type="expression" dxfId="4" priority="404">
      <formula>MAX($E33,$H33,$K33)=100</formula>
    </cfRule>
  </conditionalFormatting>
  <conditionalFormatting sqref="B10:B19">
    <cfRule type="expression" dxfId="3" priority="405">
      <formula>MAX($E28,$H28,$K28)=100</formula>
    </cfRule>
    <cfRule type="expression" dxfId="2" priority="406">
      <formula>MAX($E6,$H6,$K6)=100</formula>
    </cfRule>
  </conditionalFormatting>
  <conditionalFormatting sqref="B20:B22">
    <cfRule type="expression" dxfId="1" priority="407">
      <formula>MAX($E37,$H37,$K37)=100</formula>
    </cfRule>
    <cfRule type="expression" dxfId="0" priority="408">
      <formula>MAX($E15,$H15,$K15)=100</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5A98A-9DE5-4CC0-A28E-4AAE25FE895B}">
  <sheetPr filterMode="1">
    <tabColor rgb="FF7030A0"/>
  </sheetPr>
  <dimension ref="B1:F101"/>
  <sheetViews>
    <sheetView zoomScale="70" zoomScaleNormal="70" workbookViewId="0">
      <selection activeCell="C103" sqref="C103"/>
    </sheetView>
  </sheetViews>
  <sheetFormatPr baseColWidth="10" defaultRowHeight="14.4" x14ac:dyDescent="0.3"/>
  <cols>
    <col min="1" max="1" width="3.21875" customWidth="1"/>
    <col min="2" max="2" width="93.21875" customWidth="1"/>
    <col min="3" max="3" width="33" customWidth="1"/>
    <col min="4" max="4" width="21.44140625" customWidth="1"/>
    <col min="5" max="5" width="15.77734375" customWidth="1"/>
    <col min="6" max="6" width="42.77734375" customWidth="1"/>
  </cols>
  <sheetData>
    <row r="1" spans="2:6" ht="44.85" customHeight="1" x14ac:dyDescent="0.85">
      <c r="B1" s="1" t="s">
        <v>0</v>
      </c>
      <c r="C1" s="1"/>
    </row>
    <row r="3" spans="2:6" x14ac:dyDescent="0.3">
      <c r="B3" t="s">
        <v>18</v>
      </c>
    </row>
    <row r="5" spans="2:6" ht="46.95" customHeight="1" x14ac:dyDescent="0.6">
      <c r="B5" s="2" t="s">
        <v>62</v>
      </c>
      <c r="C5" s="2" t="s">
        <v>26</v>
      </c>
      <c r="D5" s="2" t="s">
        <v>2</v>
      </c>
      <c r="E5" s="2" t="s">
        <v>4</v>
      </c>
      <c r="F5" s="2" t="s">
        <v>5</v>
      </c>
    </row>
    <row r="6" spans="2:6" x14ac:dyDescent="0.3">
      <c r="B6" s="3" t="s">
        <v>22</v>
      </c>
      <c r="C6" s="3" t="s">
        <v>30</v>
      </c>
      <c r="D6" s="3" t="s">
        <v>6</v>
      </c>
      <c r="E6" s="3"/>
      <c r="F6" s="3"/>
    </row>
    <row r="7" spans="2:6" hidden="1" x14ac:dyDescent="0.3">
      <c r="B7" s="3" t="s">
        <v>21</v>
      </c>
      <c r="C7" s="3" t="s">
        <v>31</v>
      </c>
      <c r="D7" s="3" t="s">
        <v>16</v>
      </c>
      <c r="E7" s="3"/>
      <c r="F7" s="3"/>
    </row>
    <row r="8" spans="2:6" x14ac:dyDescent="0.3">
      <c r="B8" s="3" t="s">
        <v>23</v>
      </c>
      <c r="C8" s="3" t="s">
        <v>32</v>
      </c>
      <c r="D8" s="3" t="s">
        <v>6</v>
      </c>
      <c r="E8" s="3"/>
      <c r="F8" s="3"/>
    </row>
    <row r="9" spans="2:6" x14ac:dyDescent="0.3">
      <c r="B9" s="3" t="s">
        <v>24</v>
      </c>
      <c r="C9" s="3" t="s">
        <v>32</v>
      </c>
      <c r="D9" s="3" t="s">
        <v>6</v>
      </c>
      <c r="E9" s="3"/>
      <c r="F9" s="3"/>
    </row>
    <row r="10" spans="2:6" x14ac:dyDescent="0.3">
      <c r="B10" s="3" t="s">
        <v>25</v>
      </c>
      <c r="C10" s="3" t="s">
        <v>32</v>
      </c>
      <c r="D10" s="3" t="s">
        <v>6</v>
      </c>
      <c r="E10" s="3"/>
      <c r="F10" s="3"/>
    </row>
    <row r="11" spans="2:6" x14ac:dyDescent="0.3">
      <c r="B11" s="3" t="s">
        <v>27</v>
      </c>
      <c r="C11" s="3" t="s">
        <v>32</v>
      </c>
      <c r="D11" s="3" t="s">
        <v>6</v>
      </c>
      <c r="E11" s="3"/>
      <c r="F11" s="3"/>
    </row>
    <row r="12" spans="2:6" x14ac:dyDescent="0.3">
      <c r="B12" s="3" t="s">
        <v>28</v>
      </c>
      <c r="C12" s="3" t="s">
        <v>32</v>
      </c>
      <c r="D12" s="3" t="s">
        <v>6</v>
      </c>
      <c r="E12" s="3"/>
      <c r="F12" s="3"/>
    </row>
    <row r="13" spans="2:6" x14ac:dyDescent="0.3">
      <c r="B13" s="3" t="s">
        <v>29</v>
      </c>
      <c r="C13" s="3" t="s">
        <v>32</v>
      </c>
      <c r="D13" s="3" t="s">
        <v>6</v>
      </c>
      <c r="E13" s="3"/>
      <c r="F13" s="3"/>
    </row>
    <row r="14" spans="2:6" x14ac:dyDescent="0.3">
      <c r="B14" s="3" t="s">
        <v>33</v>
      </c>
      <c r="C14" s="3" t="s">
        <v>32</v>
      </c>
      <c r="D14" s="3" t="s">
        <v>6</v>
      </c>
      <c r="E14" s="3"/>
      <c r="F14" s="3"/>
    </row>
    <row r="15" spans="2:6" x14ac:dyDescent="0.3">
      <c r="B15" s="3" t="s">
        <v>34</v>
      </c>
      <c r="C15" s="3" t="s">
        <v>32</v>
      </c>
      <c r="D15" s="3" t="s">
        <v>6</v>
      </c>
      <c r="E15" s="3"/>
      <c r="F15" s="3"/>
    </row>
    <row r="16" spans="2:6" x14ac:dyDescent="0.3">
      <c r="B16" s="3" t="s">
        <v>35</v>
      </c>
      <c r="C16" s="3" t="s">
        <v>32</v>
      </c>
      <c r="D16" s="3" t="s">
        <v>6</v>
      </c>
      <c r="E16" s="3"/>
      <c r="F16" s="3"/>
    </row>
    <row r="17" spans="2:6" x14ac:dyDescent="0.3">
      <c r="B17" s="3" t="s">
        <v>71</v>
      </c>
      <c r="C17" s="3" t="s">
        <v>32</v>
      </c>
      <c r="D17" s="3" t="s">
        <v>6</v>
      </c>
      <c r="E17" s="3"/>
      <c r="F17" s="3"/>
    </row>
    <row r="18" spans="2:6" x14ac:dyDescent="0.3">
      <c r="B18" s="3" t="s">
        <v>36</v>
      </c>
      <c r="C18" s="3" t="s">
        <v>32</v>
      </c>
      <c r="D18" s="3" t="s">
        <v>6</v>
      </c>
      <c r="E18" s="3"/>
      <c r="F18" s="3"/>
    </row>
    <row r="19" spans="2:6" x14ac:dyDescent="0.3">
      <c r="B19" s="3" t="s">
        <v>37</v>
      </c>
      <c r="C19" s="3" t="s">
        <v>32</v>
      </c>
      <c r="D19" s="3" t="s">
        <v>6</v>
      </c>
      <c r="E19" s="3"/>
      <c r="F19" s="3"/>
    </row>
    <row r="20" spans="2:6" x14ac:dyDescent="0.3">
      <c r="B20" s="3" t="s">
        <v>40</v>
      </c>
      <c r="C20" s="3" t="s">
        <v>32</v>
      </c>
      <c r="D20" s="3" t="s">
        <v>6</v>
      </c>
      <c r="E20" s="3"/>
      <c r="F20" s="3"/>
    </row>
    <row r="21" spans="2:6" x14ac:dyDescent="0.3">
      <c r="B21" s="3" t="s">
        <v>41</v>
      </c>
      <c r="C21" s="3" t="s">
        <v>32</v>
      </c>
      <c r="D21" s="3" t="s">
        <v>6</v>
      </c>
      <c r="E21" s="3"/>
      <c r="F21" s="3"/>
    </row>
    <row r="22" spans="2:6" x14ac:dyDescent="0.3">
      <c r="B22" s="3" t="s">
        <v>42</v>
      </c>
      <c r="C22" s="3" t="s">
        <v>32</v>
      </c>
      <c r="D22" s="3" t="s">
        <v>6</v>
      </c>
      <c r="E22" s="3"/>
      <c r="F22" s="3"/>
    </row>
    <row r="23" spans="2:6" x14ac:dyDescent="0.3">
      <c r="B23" s="3" t="s">
        <v>38</v>
      </c>
      <c r="C23" s="3" t="s">
        <v>32</v>
      </c>
      <c r="D23" s="3" t="s">
        <v>6</v>
      </c>
      <c r="E23" s="3"/>
      <c r="F23" s="3"/>
    </row>
    <row r="24" spans="2:6" x14ac:dyDescent="0.3">
      <c r="B24" s="3" t="s">
        <v>39</v>
      </c>
      <c r="C24" s="3" t="s">
        <v>32</v>
      </c>
      <c r="D24" s="3" t="s">
        <v>6</v>
      </c>
      <c r="E24" s="3"/>
      <c r="F24" s="3"/>
    </row>
    <row r="25" spans="2:6" x14ac:dyDescent="0.3">
      <c r="B25" s="3" t="s">
        <v>44</v>
      </c>
      <c r="C25" s="3" t="s">
        <v>32</v>
      </c>
      <c r="D25" s="3" t="s">
        <v>6</v>
      </c>
      <c r="E25" s="3"/>
      <c r="F25" s="3"/>
    </row>
    <row r="26" spans="2:6" x14ac:dyDescent="0.3">
      <c r="B26" s="3" t="s">
        <v>43</v>
      </c>
      <c r="C26" s="3" t="s">
        <v>32</v>
      </c>
      <c r="D26" s="3" t="s">
        <v>6</v>
      </c>
      <c r="E26" s="3"/>
      <c r="F26" s="3"/>
    </row>
    <row r="27" spans="2:6" x14ac:dyDescent="0.3">
      <c r="B27" s="3" t="s">
        <v>45</v>
      </c>
      <c r="C27" s="3" t="s">
        <v>32</v>
      </c>
      <c r="D27" s="3" t="s">
        <v>6</v>
      </c>
      <c r="E27" s="3"/>
      <c r="F27" s="3"/>
    </row>
    <row r="28" spans="2:6" x14ac:dyDescent="0.3">
      <c r="B28" s="3" t="s">
        <v>80</v>
      </c>
      <c r="C28" s="3" t="s">
        <v>32</v>
      </c>
      <c r="D28" s="3" t="s">
        <v>6</v>
      </c>
      <c r="E28" s="3"/>
      <c r="F28" s="3"/>
    </row>
    <row r="29" spans="2:6" x14ac:dyDescent="0.3">
      <c r="B29" s="3" t="s">
        <v>46</v>
      </c>
      <c r="C29" s="3" t="s">
        <v>32</v>
      </c>
      <c r="D29" s="3" t="s">
        <v>6</v>
      </c>
      <c r="E29" s="3"/>
      <c r="F29" s="3"/>
    </row>
    <row r="30" spans="2:6" x14ac:dyDescent="0.3">
      <c r="B30" s="3" t="s">
        <v>47</v>
      </c>
      <c r="C30" s="3" t="s">
        <v>32</v>
      </c>
      <c r="D30" s="3" t="s">
        <v>6</v>
      </c>
      <c r="E30" s="3"/>
      <c r="F30" s="3"/>
    </row>
    <row r="31" spans="2:6" hidden="1" x14ac:dyDescent="0.3">
      <c r="B31" s="3" t="s">
        <v>70</v>
      </c>
      <c r="C31" s="3" t="s">
        <v>32</v>
      </c>
      <c r="D31" s="3" t="s">
        <v>16</v>
      </c>
      <c r="E31" s="3"/>
      <c r="F31" s="3"/>
    </row>
    <row r="32" spans="2:6" x14ac:dyDescent="0.3">
      <c r="B32" s="3" t="s">
        <v>48</v>
      </c>
      <c r="C32" s="3" t="s">
        <v>32</v>
      </c>
      <c r="D32" s="3" t="s">
        <v>6</v>
      </c>
      <c r="E32" s="3"/>
      <c r="F32" s="3"/>
    </row>
    <row r="33" spans="2:6" x14ac:dyDescent="0.3">
      <c r="B33" s="3" t="s">
        <v>49</v>
      </c>
      <c r="C33" s="3" t="s">
        <v>26</v>
      </c>
      <c r="D33" s="3" t="s">
        <v>6</v>
      </c>
      <c r="E33" s="3"/>
      <c r="F33" s="3"/>
    </row>
    <row r="34" spans="2:6" x14ac:dyDescent="0.3">
      <c r="B34" s="3" t="s">
        <v>60</v>
      </c>
      <c r="C34" s="3" t="s">
        <v>50</v>
      </c>
      <c r="D34" s="3" t="s">
        <v>6</v>
      </c>
      <c r="E34" s="3"/>
      <c r="F34" s="3"/>
    </row>
    <row r="35" spans="2:6" hidden="1" x14ac:dyDescent="0.3">
      <c r="B35" s="3" t="s">
        <v>51</v>
      </c>
      <c r="C35" s="3" t="s">
        <v>32</v>
      </c>
      <c r="D35" s="3" t="s">
        <v>16</v>
      </c>
      <c r="E35" s="3"/>
      <c r="F35" s="3"/>
    </row>
    <row r="36" spans="2:6" hidden="1" x14ac:dyDescent="0.3">
      <c r="B36" s="3" t="s">
        <v>53</v>
      </c>
      <c r="C36" s="3" t="s">
        <v>32</v>
      </c>
      <c r="D36" s="3" t="s">
        <v>16</v>
      </c>
      <c r="E36" s="3"/>
      <c r="F36" s="3"/>
    </row>
    <row r="37" spans="2:6" hidden="1" x14ac:dyDescent="0.3">
      <c r="B37" s="3" t="s">
        <v>52</v>
      </c>
      <c r="C37" s="3" t="s">
        <v>32</v>
      </c>
      <c r="D37" s="3" t="s">
        <v>16</v>
      </c>
      <c r="E37" s="3"/>
      <c r="F37" s="3"/>
    </row>
    <row r="38" spans="2:6" x14ac:dyDescent="0.3">
      <c r="B38" s="3" t="s">
        <v>54</v>
      </c>
      <c r="C38" s="3" t="s">
        <v>26</v>
      </c>
      <c r="D38" s="3" t="s">
        <v>6</v>
      </c>
      <c r="E38" s="3"/>
      <c r="F38" s="3"/>
    </row>
    <row r="39" spans="2:6" hidden="1" x14ac:dyDescent="0.3">
      <c r="B39" s="3" t="s">
        <v>55</v>
      </c>
      <c r="C39" s="3" t="s">
        <v>26</v>
      </c>
      <c r="D39" s="3" t="s">
        <v>16</v>
      </c>
      <c r="E39" s="3"/>
      <c r="F39" s="3"/>
    </row>
    <row r="40" spans="2:6" hidden="1" x14ac:dyDescent="0.3">
      <c r="B40" s="3" t="s">
        <v>56</v>
      </c>
      <c r="C40" s="3" t="s">
        <v>30</v>
      </c>
      <c r="D40" s="3" t="s">
        <v>16</v>
      </c>
      <c r="E40" s="3"/>
      <c r="F40" s="3"/>
    </row>
    <row r="41" spans="2:6" hidden="1" x14ac:dyDescent="0.3">
      <c r="B41" s="3" t="s">
        <v>57</v>
      </c>
      <c r="C41" s="3" t="s">
        <v>30</v>
      </c>
      <c r="D41" s="3" t="s">
        <v>16</v>
      </c>
      <c r="E41" s="3"/>
      <c r="F41" s="3"/>
    </row>
    <row r="42" spans="2:6" hidden="1" x14ac:dyDescent="0.3">
      <c r="B42" s="3" t="s">
        <v>58</v>
      </c>
      <c r="C42" s="3" t="s">
        <v>30</v>
      </c>
      <c r="D42" s="3" t="s">
        <v>16</v>
      </c>
      <c r="E42" s="3"/>
      <c r="F42" s="3"/>
    </row>
    <row r="43" spans="2:6" x14ac:dyDescent="0.3">
      <c r="B43" s="3" t="s">
        <v>59</v>
      </c>
      <c r="C43" s="3" t="s">
        <v>32</v>
      </c>
      <c r="D43" s="3" t="s">
        <v>6</v>
      </c>
      <c r="E43" s="3"/>
      <c r="F43" s="3"/>
    </row>
    <row r="44" spans="2:6" hidden="1" x14ac:dyDescent="0.3">
      <c r="B44" s="3" t="s">
        <v>61</v>
      </c>
      <c r="C44" s="3" t="s">
        <v>26</v>
      </c>
      <c r="D44" s="3" t="s">
        <v>16</v>
      </c>
      <c r="E44" s="3"/>
      <c r="F44" s="3"/>
    </row>
    <row r="45" spans="2:6" hidden="1" x14ac:dyDescent="0.3">
      <c r="B45" s="3" t="s">
        <v>63</v>
      </c>
      <c r="C45" s="3" t="s">
        <v>30</v>
      </c>
      <c r="D45" s="3" t="s">
        <v>16</v>
      </c>
      <c r="E45" s="3"/>
      <c r="F45" s="3"/>
    </row>
    <row r="46" spans="2:6" hidden="1" x14ac:dyDescent="0.3">
      <c r="B46" s="3" t="s">
        <v>64</v>
      </c>
      <c r="C46" s="3" t="s">
        <v>30</v>
      </c>
      <c r="D46" s="3" t="s">
        <v>17</v>
      </c>
      <c r="E46" s="3"/>
      <c r="F46" s="3"/>
    </row>
    <row r="47" spans="2:6" hidden="1" x14ac:dyDescent="0.3">
      <c r="B47" s="3" t="s">
        <v>65</v>
      </c>
      <c r="C47" s="3" t="s">
        <v>26</v>
      </c>
      <c r="D47" s="3" t="s">
        <v>16</v>
      </c>
      <c r="E47" s="3"/>
      <c r="F47" s="3"/>
    </row>
    <row r="48" spans="2:6" hidden="1" x14ac:dyDescent="0.3">
      <c r="B48" s="3" t="s">
        <v>86</v>
      </c>
      <c r="C48" s="3" t="s">
        <v>66</v>
      </c>
      <c r="D48" s="3" t="s">
        <v>16</v>
      </c>
      <c r="E48" s="3"/>
      <c r="F48" s="3"/>
    </row>
    <row r="49" spans="2:6" hidden="1" x14ac:dyDescent="0.3">
      <c r="B49" s="3" t="s">
        <v>67</v>
      </c>
      <c r="C49" s="3" t="s">
        <v>66</v>
      </c>
      <c r="D49" s="3" t="s">
        <v>16</v>
      </c>
      <c r="E49" s="3"/>
      <c r="F49" s="3"/>
    </row>
    <row r="50" spans="2:6" hidden="1" x14ac:dyDescent="0.3">
      <c r="B50" s="3" t="s">
        <v>68</v>
      </c>
      <c r="C50" s="3" t="s">
        <v>32</v>
      </c>
      <c r="D50" s="3" t="s">
        <v>16</v>
      </c>
      <c r="E50" s="3"/>
      <c r="F50" s="3"/>
    </row>
    <row r="51" spans="2:6" hidden="1" x14ac:dyDescent="0.3">
      <c r="B51" s="3" t="s">
        <v>69</v>
      </c>
      <c r="C51" s="3" t="s">
        <v>66</v>
      </c>
      <c r="D51" s="3" t="s">
        <v>16</v>
      </c>
      <c r="E51" s="3"/>
      <c r="F51" s="3"/>
    </row>
    <row r="52" spans="2:6" x14ac:dyDescent="0.3">
      <c r="B52" s="3" t="s">
        <v>72</v>
      </c>
      <c r="C52" s="3" t="s">
        <v>30</v>
      </c>
      <c r="D52" s="3" t="s">
        <v>6</v>
      </c>
      <c r="E52" s="3"/>
      <c r="F52" s="3"/>
    </row>
    <row r="53" spans="2:6" x14ac:dyDescent="0.3">
      <c r="B53" s="3" t="s">
        <v>73</v>
      </c>
      <c r="C53" s="3" t="s">
        <v>30</v>
      </c>
      <c r="D53" s="3" t="s">
        <v>6</v>
      </c>
      <c r="E53" s="3"/>
      <c r="F53" s="3"/>
    </row>
    <row r="54" spans="2:6" x14ac:dyDescent="0.3">
      <c r="B54" s="3" t="s">
        <v>74</v>
      </c>
      <c r="C54" s="3" t="s">
        <v>30</v>
      </c>
      <c r="D54" s="3" t="s">
        <v>6</v>
      </c>
      <c r="E54" s="3"/>
      <c r="F54" s="3"/>
    </row>
    <row r="55" spans="2:6" x14ac:dyDescent="0.3">
      <c r="B55" s="3" t="s">
        <v>85</v>
      </c>
      <c r="C55" s="3" t="s">
        <v>66</v>
      </c>
      <c r="D55" s="3" t="s">
        <v>6</v>
      </c>
      <c r="E55" s="3"/>
      <c r="F55" s="3"/>
    </row>
    <row r="56" spans="2:6" x14ac:dyDescent="0.3">
      <c r="B56" s="3" t="s">
        <v>76</v>
      </c>
      <c r="C56" s="3" t="s">
        <v>30</v>
      </c>
      <c r="D56" s="3" t="s">
        <v>6</v>
      </c>
      <c r="E56" s="3"/>
      <c r="F56" s="3"/>
    </row>
    <row r="57" spans="2:6" x14ac:dyDescent="0.3">
      <c r="B57" s="3" t="s">
        <v>77</v>
      </c>
      <c r="C57" s="3" t="s">
        <v>30</v>
      </c>
      <c r="D57" s="3" t="s">
        <v>6</v>
      </c>
      <c r="E57" s="3"/>
      <c r="F57" s="3"/>
    </row>
    <row r="58" spans="2:6" x14ac:dyDescent="0.3">
      <c r="B58" s="3" t="s">
        <v>78</v>
      </c>
      <c r="C58" s="3" t="s">
        <v>30</v>
      </c>
      <c r="D58" s="3" t="s">
        <v>6</v>
      </c>
      <c r="E58" s="3"/>
      <c r="F58" s="3"/>
    </row>
    <row r="59" spans="2:6" x14ac:dyDescent="0.3">
      <c r="B59" s="3" t="s">
        <v>79</v>
      </c>
      <c r="C59" s="3" t="s">
        <v>30</v>
      </c>
      <c r="D59" s="3" t="s">
        <v>6</v>
      </c>
      <c r="E59" s="3"/>
      <c r="F59" s="3"/>
    </row>
    <row r="60" spans="2:6" x14ac:dyDescent="0.3">
      <c r="B60" s="3" t="s">
        <v>81</v>
      </c>
      <c r="C60" s="3" t="s">
        <v>30</v>
      </c>
      <c r="D60" s="3" t="s">
        <v>6</v>
      </c>
      <c r="E60" s="3"/>
      <c r="F60" s="3"/>
    </row>
    <row r="61" spans="2:6" hidden="1" x14ac:dyDescent="0.3">
      <c r="B61" s="3" t="s">
        <v>82</v>
      </c>
      <c r="C61" s="3" t="s">
        <v>30</v>
      </c>
      <c r="D61" s="3" t="s">
        <v>16</v>
      </c>
      <c r="E61" s="3"/>
      <c r="F61" s="3"/>
    </row>
    <row r="62" spans="2:6" hidden="1" x14ac:dyDescent="0.3">
      <c r="B62" s="3" t="s">
        <v>83</v>
      </c>
      <c r="C62" s="3" t="s">
        <v>30</v>
      </c>
      <c r="D62" s="3" t="s">
        <v>16</v>
      </c>
      <c r="E62" s="3"/>
      <c r="F62" s="3"/>
    </row>
    <row r="63" spans="2:6" x14ac:dyDescent="0.3">
      <c r="B63" s="3" t="s">
        <v>84</v>
      </c>
      <c r="C63" s="3" t="s">
        <v>30</v>
      </c>
      <c r="D63" s="3" t="s">
        <v>6</v>
      </c>
      <c r="E63" s="3"/>
      <c r="F63" s="3"/>
    </row>
    <row r="64" spans="2:6" x14ac:dyDescent="0.3">
      <c r="B64" s="3" t="s">
        <v>75</v>
      </c>
      <c r="C64" s="3" t="s">
        <v>30</v>
      </c>
      <c r="D64" s="3" t="s">
        <v>6</v>
      </c>
      <c r="E64" s="3"/>
      <c r="F64" s="3"/>
    </row>
    <row r="65" spans="2:6" hidden="1" x14ac:dyDescent="0.3">
      <c r="B65" s="3" t="s">
        <v>92</v>
      </c>
      <c r="C65" s="3"/>
      <c r="D65" s="3" t="s">
        <v>3</v>
      </c>
      <c r="E65" s="3"/>
      <c r="F65" s="3"/>
    </row>
    <row r="66" spans="2:6" hidden="1" x14ac:dyDescent="0.3">
      <c r="B66" s="3" t="s">
        <v>93</v>
      </c>
      <c r="C66" s="3"/>
      <c r="D66" s="3" t="s">
        <v>3</v>
      </c>
      <c r="E66" s="3"/>
      <c r="F66" s="3"/>
    </row>
    <row r="67" spans="2:6" hidden="1" x14ac:dyDescent="0.3">
      <c r="B67" s="3" t="s">
        <v>94</v>
      </c>
      <c r="C67" s="3"/>
      <c r="D67" s="3" t="s">
        <v>3</v>
      </c>
      <c r="E67" s="3"/>
      <c r="F67" s="3"/>
    </row>
    <row r="68" spans="2:6" hidden="1" x14ac:dyDescent="0.3">
      <c r="B68" s="3" t="s">
        <v>95</v>
      </c>
      <c r="C68" s="3"/>
      <c r="D68" s="3" t="s">
        <v>3</v>
      </c>
      <c r="E68" s="3"/>
      <c r="F68" s="3"/>
    </row>
    <row r="69" spans="2:6" hidden="1" x14ac:dyDescent="0.3">
      <c r="B69" s="3" t="s">
        <v>96</v>
      </c>
      <c r="C69" s="3"/>
      <c r="D69" s="3" t="s">
        <v>3</v>
      </c>
      <c r="E69" s="3"/>
      <c r="F69" s="3"/>
    </row>
    <row r="70" spans="2:6" hidden="1" x14ac:dyDescent="0.3">
      <c r="B70" s="3" t="s">
        <v>97</v>
      </c>
      <c r="C70" s="3"/>
      <c r="D70" s="3" t="s">
        <v>3</v>
      </c>
      <c r="E70" s="3"/>
      <c r="F70" s="3"/>
    </row>
    <row r="71" spans="2:6" hidden="1" x14ac:dyDescent="0.3">
      <c r="B71" s="3" t="s">
        <v>98</v>
      </c>
      <c r="C71" s="3"/>
      <c r="D71" s="3" t="s">
        <v>3</v>
      </c>
      <c r="E71" s="3"/>
      <c r="F71" s="3"/>
    </row>
    <row r="72" spans="2:6" hidden="1" x14ac:dyDescent="0.3">
      <c r="B72" s="3" t="s">
        <v>99</v>
      </c>
      <c r="C72" s="3"/>
      <c r="D72" s="3" t="s">
        <v>3</v>
      </c>
      <c r="E72" s="3"/>
      <c r="F72" s="3"/>
    </row>
    <row r="73" spans="2:6" hidden="1" x14ac:dyDescent="0.3">
      <c r="B73" s="3" t="s">
        <v>100</v>
      </c>
      <c r="C73" s="3"/>
      <c r="D73" s="3" t="s">
        <v>3</v>
      </c>
      <c r="E73" s="3"/>
      <c r="F73" s="3"/>
    </row>
    <row r="74" spans="2:6" hidden="1" x14ac:dyDescent="0.3">
      <c r="B74" s="3" t="s">
        <v>106</v>
      </c>
      <c r="C74" s="3"/>
      <c r="D74" s="3" t="s">
        <v>17</v>
      </c>
      <c r="E74" s="3"/>
      <c r="F74" s="3"/>
    </row>
    <row r="75" spans="2:6" hidden="1" x14ac:dyDescent="0.3">
      <c r="B75" s="3" t="s">
        <v>107</v>
      </c>
      <c r="C75" s="3"/>
      <c r="D75" s="3" t="s">
        <v>17</v>
      </c>
      <c r="E75" s="3"/>
      <c r="F75" s="3"/>
    </row>
    <row r="76" spans="2:6" x14ac:dyDescent="0.3">
      <c r="B76" s="3"/>
      <c r="C76" s="3"/>
      <c r="D76" s="3"/>
      <c r="E76" s="3"/>
      <c r="F76" s="3"/>
    </row>
    <row r="77" spans="2:6" x14ac:dyDescent="0.3">
      <c r="B77" s="3"/>
      <c r="C77" s="3"/>
      <c r="D77" s="3"/>
      <c r="E77" s="3"/>
      <c r="F77" s="3"/>
    </row>
    <row r="78" spans="2:6" x14ac:dyDescent="0.3">
      <c r="B78" s="3"/>
      <c r="C78" s="3"/>
      <c r="D78" s="3"/>
      <c r="E78" s="3"/>
      <c r="F78" s="3"/>
    </row>
    <row r="79" spans="2:6" x14ac:dyDescent="0.3">
      <c r="B79" s="3"/>
      <c r="C79" s="3"/>
      <c r="D79" s="3"/>
      <c r="E79" s="3"/>
      <c r="F79" s="3"/>
    </row>
    <row r="80" spans="2:6" x14ac:dyDescent="0.3">
      <c r="B80" s="3"/>
      <c r="C80" s="3"/>
      <c r="D80" s="3"/>
      <c r="E80" s="3"/>
      <c r="F80" s="3"/>
    </row>
    <row r="81" spans="2:6" x14ac:dyDescent="0.3">
      <c r="B81" s="3"/>
      <c r="C81" s="3"/>
      <c r="D81" s="3"/>
      <c r="E81" s="3"/>
      <c r="F81" s="3"/>
    </row>
    <row r="82" spans="2:6" x14ac:dyDescent="0.3">
      <c r="B82" s="3"/>
      <c r="C82" s="3"/>
      <c r="D82" s="3"/>
      <c r="E82" s="3"/>
      <c r="F82" s="3"/>
    </row>
    <row r="83" spans="2:6" x14ac:dyDescent="0.3">
      <c r="B83" s="3"/>
      <c r="C83" s="3"/>
      <c r="D83" s="3"/>
      <c r="E83" s="3"/>
      <c r="F83" s="3"/>
    </row>
    <row r="84" spans="2:6" x14ac:dyDescent="0.3">
      <c r="B84" s="3"/>
      <c r="C84" s="3"/>
      <c r="D84" s="3"/>
      <c r="E84" s="3"/>
      <c r="F84" s="3"/>
    </row>
    <row r="85" spans="2:6" x14ac:dyDescent="0.3">
      <c r="B85" s="3"/>
      <c r="C85" s="3"/>
      <c r="D85" s="3"/>
      <c r="E85" s="3"/>
      <c r="F85" s="3"/>
    </row>
    <row r="86" spans="2:6" x14ac:dyDescent="0.3">
      <c r="B86" s="3"/>
      <c r="C86" s="3"/>
      <c r="D86" s="3"/>
      <c r="E86" s="3"/>
      <c r="F86" s="3"/>
    </row>
    <row r="87" spans="2:6" x14ac:dyDescent="0.3">
      <c r="B87" s="3"/>
      <c r="C87" s="3"/>
      <c r="D87" s="3"/>
      <c r="E87" s="3"/>
      <c r="F87" s="3"/>
    </row>
    <row r="88" spans="2:6" x14ac:dyDescent="0.3">
      <c r="B88" s="3"/>
      <c r="C88" s="3"/>
      <c r="D88" s="3"/>
      <c r="E88" s="3"/>
      <c r="F88" s="3"/>
    </row>
    <row r="89" spans="2:6" x14ac:dyDescent="0.3">
      <c r="B89" s="3"/>
      <c r="C89" s="3"/>
      <c r="D89" s="3"/>
      <c r="E89" s="3"/>
      <c r="F89" s="3"/>
    </row>
    <row r="90" spans="2:6" x14ac:dyDescent="0.3">
      <c r="B90" s="3"/>
      <c r="C90" s="3"/>
      <c r="D90" s="3"/>
      <c r="E90" s="3"/>
      <c r="F90" s="3"/>
    </row>
    <row r="91" spans="2:6" x14ac:dyDescent="0.3">
      <c r="B91" s="3"/>
      <c r="C91" s="3"/>
      <c r="D91" s="3"/>
      <c r="E91" s="3"/>
      <c r="F91" s="3"/>
    </row>
    <row r="92" spans="2:6" x14ac:dyDescent="0.3">
      <c r="B92" s="3"/>
      <c r="C92" s="3"/>
      <c r="D92" s="3"/>
      <c r="E92" s="3"/>
      <c r="F92" s="3"/>
    </row>
    <row r="93" spans="2:6" x14ac:dyDescent="0.3">
      <c r="B93" s="3"/>
      <c r="C93" s="3"/>
      <c r="D93" s="3"/>
      <c r="E93" s="3"/>
      <c r="F93" s="3"/>
    </row>
    <row r="94" spans="2:6" x14ac:dyDescent="0.3">
      <c r="B94" s="3"/>
      <c r="C94" s="3"/>
      <c r="D94" s="3"/>
      <c r="E94" s="3"/>
      <c r="F94" s="3"/>
    </row>
    <row r="95" spans="2:6" x14ac:dyDescent="0.3">
      <c r="B95" s="3"/>
      <c r="C95" s="3"/>
      <c r="D95" s="3"/>
      <c r="E95" s="3"/>
      <c r="F95" s="3"/>
    </row>
    <row r="96" spans="2:6" x14ac:dyDescent="0.3">
      <c r="B96" s="3"/>
      <c r="C96" s="3"/>
      <c r="D96" s="3"/>
      <c r="E96" s="3"/>
      <c r="F96" s="3"/>
    </row>
    <row r="97" spans="2:6" x14ac:dyDescent="0.3">
      <c r="B97" s="3"/>
      <c r="C97" s="3"/>
      <c r="D97" s="3"/>
      <c r="E97" s="3"/>
      <c r="F97" s="3"/>
    </row>
    <row r="98" spans="2:6" x14ac:dyDescent="0.3">
      <c r="B98" s="3"/>
      <c r="C98" s="3"/>
      <c r="D98" s="3"/>
      <c r="E98" s="3"/>
      <c r="F98" s="3"/>
    </row>
    <row r="99" spans="2:6" x14ac:dyDescent="0.3">
      <c r="B99" s="3"/>
      <c r="C99" s="3"/>
      <c r="D99" s="3"/>
      <c r="E99" s="3"/>
      <c r="F99" s="3"/>
    </row>
    <row r="100" spans="2:6" x14ac:dyDescent="0.3">
      <c r="B100" s="3"/>
      <c r="C100" s="3"/>
      <c r="D100" s="3"/>
      <c r="E100" s="3"/>
      <c r="F100" s="3"/>
    </row>
    <row r="101" spans="2:6" x14ac:dyDescent="0.3">
      <c r="B101" s="3"/>
      <c r="C101" s="3"/>
      <c r="D101" s="3"/>
      <c r="E101" s="3"/>
      <c r="F101" s="3"/>
    </row>
  </sheetData>
  <autoFilter ref="B5:F75" xr:uid="{00000000-0009-0000-0000-000007000000}">
    <filterColumn colId="2">
      <filters>
        <filter val="Sprint 2"/>
      </filters>
    </filterColumn>
  </autoFilter>
  <dataValidations count="2">
    <dataValidation type="list" allowBlank="1" showInputMessage="1" showErrorMessage="1" sqref="D6:D101" xr:uid="{00000000-0002-0000-0700-000000000000}">
      <formula1>"Sprint 1,Sprint 2,Sprint 3,Sprint 4,"</formula1>
    </dataValidation>
    <dataValidation type="list" allowBlank="1" showInputMessage="1" showErrorMessage="1" sqref="E6:E101" xr:uid="{00000000-0002-0000-0700-000001000000}">
      <formula1>"Haute,Moyenne,Basse,"</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Planification</vt:lpstr>
      <vt:lpstr>Sprint 1</vt:lpstr>
      <vt:lpstr> Sprint 2</vt:lpstr>
      <vt:lpstr>Sprint 3</vt:lpstr>
      <vt:lpstr>Mi-mandat</vt:lpstr>
      <vt:lpstr>Sprint 4</vt:lpstr>
      <vt:lpstr>Planification trop détaillée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2023-07-17T14:17:57Z</dcterms:created>
  <dcterms:modified xsi:type="dcterms:W3CDTF">2026-05-01T20:21:42Z</dcterms:modified>
</cp:coreProperties>
</file>