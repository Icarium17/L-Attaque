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_Projet_Projet\L-Attaque\doc\"/>
    </mc:Choice>
  </mc:AlternateContent>
  <xr:revisionPtr revIDLastSave="0" documentId="13_ncr:1_{E0AE60D8-397D-41AD-BCC5-A83CB8E54D48}" xr6:coauthVersionLast="36" xr6:coauthVersionMax="47" xr10:uidLastSave="{00000000-0000-0000-0000-000000000000}"/>
  <bookViews>
    <workbookView xWindow="0" yWindow="0" windowWidth="38400" windowHeight="17730" activeTab="5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Sprint 4" sheetId="5" r:id="rId6"/>
    <sheet name="Planification trop détaillée" sheetId="11" r:id="rId7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6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<sst xmlns="http://schemas.openxmlformats.org/spreadsheetml/2006/main" count="664" uniqueCount="233">
  <si>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</si>
  <si>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</si>
  <si>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</si>
  <si>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</si>
  <si>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</si>
  <si>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</si>
  <si>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</si>
  <si>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</si>
  <si>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</si>
  <si>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</si>
  <si>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</si>
  <si>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</si>
  <si>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</si>
  <si>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</si>
  <si>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</si>
  <si>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</si>
  <si>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</si>
  <si>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</si>
  <si>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</si>
  <si>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</si>
  <si>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</si>
  <si>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</si>
  <si>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</si>
  <si>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</si>
  <si>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</si>
  <si>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</si>
  <si>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</si>
  <si>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</si>
  <si>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</si>
  <si>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</si>
  <si>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</si>
  <si>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</si>
  <si>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</si>
  <si>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</si>
  <si>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</si>
  <si>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</si>
  <si>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</si>
  <si>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</si>
  <si>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</si>
  <si>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</si>
  <si>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</si>
  <si>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</si>
  <si>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</si>
  <si>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</si>
  <si>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</si>
  <si>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</si>
  <si>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</si>
  <si>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</si>
  <si>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</si>
  <si>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</si>
  <si>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</si>
  <si>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</si>
  <si>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</si>
  <si>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</si>
  <si>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</si>
  <si>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</si>
  <si>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</si>
  <si>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</si>
  <si>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</si>
  <si>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</si>
  <si>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</si>
  <si>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</si>
  <si>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</si>
  <si>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</si>
  <si>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</si>
  <si>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</si>
  <si>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</si>
  <si>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</si>
  <si>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</si>
  <si>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</si>
  <si>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</si>
  <si>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</si>
  <si>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</si>
  <si>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</si>
  <si>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</si>
  <si>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</si>
  <si>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</si>
  <si>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</si>
  <si>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</si>
  <si>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</si>
  <si>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</si>
  <si>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</si>
  <si>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</si>
  <si>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</si>
  <si>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</si>
  <si>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</si>
  <si>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</si>
  <si>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</si>
  <si>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</si>
  <si>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</si>
  <si>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</si>
  <si>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des règles du jeu (sans combat)</t>
  </si>
  <si>
    <t>Création de la base de données MySQL et de la table users</t>
  </si>
  <si>
    <t>Implémentation de la logique de connection de joueur (jeton)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</si>
  <si>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</si>
  <si>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</si>
  <si>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</si>
  <si>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</si>
  <si>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</si>
  <si>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</si>
  <si>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</si>
  <si>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</si>
  <si>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</si>
  <si>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</si>
  <si>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</si>
  <si>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</si>
  <si>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</si>
  <si>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</si>
  <si>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Instructions de jeu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</si>
  <si>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</si>
  <si>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</si>
  <si>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</si>
  <si>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</si>
  <si>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</si>
  <si>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</si>
  <si>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</si>
  <si>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</si>
  <si>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</si>
  <si>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</si>
  <si>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</si>
  <si>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</si>
  <si>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</si>
  <si>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</si>
  <si>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</si>
  <si>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</si>
  <si>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</si>
  <si>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</si>
  <si>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</si>
  <si>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</si>
  <si>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</si>
  <si>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</si>
  <si>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</si>
  <si>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</si>
  <si>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</si>
  <si>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</si>
  <si>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</si>
  <si>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</si>
  <si>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</si>
  <si>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</si>
  <si>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</si>
  <si>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</si>
  <si>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</si>
  <si>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</si>
  <si>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</si>
  <si>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</si>
  <si>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</si>
  <si>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</si>
  <si>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</si>
  <si>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</si>
  <si>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</si>
  <si>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</si>
  <si>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</si>
  <si>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</si>
  <si>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</si>
  <si>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</si>
  <si>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</si>
  <si>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</si>
  <si>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</si>
  <si>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</si>
  <si>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</si>
  <si>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</si>
  <si>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</si>
  <si>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</si>
  <si>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</si>
  <si>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</si>
  <si>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</si>
  <si>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</si>
  <si>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</si>
  <si>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</si>
  <si>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</si>
  <si>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</si>
  <si>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</si>
  <si>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</si>
  <si>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</si>
  <si>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</si>
  <si>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</si>
  <si>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</si>
  <si>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</si>
  <si>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</si>
  <si>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</si>
  <si>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</si>
  <si>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</si>
  <si>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</si>
  <si>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Importation des svg en tant que Composant pour les pieces</t>
  </si>
  <si>
    <t>Créer table pour les chats entre joueurs</t>
  </si>
  <si>
    <t>Créer la classe Piece/BeliefPiece</t>
  </si>
  <si>
    <t>Centrage + scale des svg</t>
  </si>
  <si>
    <t>Changer aspect des pieces du pool avec des components svg</t>
  </si>
  <si>
    <t>Ajout component Timer non full complete</t>
  </si>
  <si>
    <t>Ajout fonction transformation tableau api vers matrice React pour le Board</t>
  </si>
  <si>
    <t>Modifier makeBoard pour recevoir x,y,rank,player</t>
  </si>
  <si>
    <t>Ajout fonctions de drag drop dans usePlacement.js</t>
  </si>
  <si>
    <t>Ajout drag drop dans useCellClick.js</t>
  </si>
  <si>
    <t>Ajout drag drop dans cell.jsx</t>
  </si>
  <si>
    <t>AJout Drag drop dans game.jsx</t>
  </si>
  <si>
    <t>Ajout pieceCard + debut battle screen</t>
  </si>
  <si>
    <t>Modifier timer avec un timer local pour l affichage et compenser la latence reseau</t>
  </si>
  <si>
    <t xml:space="preserve">Mise a jour affichage suite à combat: ajout  battle.jsx </t>
  </si>
  <si>
    <t>Mise a jour board suite a un deplacement</t>
  </si>
  <si>
    <t>Ajout component TurnIndicator pour signifier le tour</t>
  </si>
  <si>
    <t>Ajout du Timer depuis api  (Compte à rebourd)</t>
  </si>
  <si>
    <t xml:space="preserve">Ajouter  end.jsx victoire ou defaite avec bouton recommencer </t>
  </si>
  <si>
    <t>Refactoriser game.jsx( redecouapge en differents components)</t>
  </si>
  <si>
    <t>Implémentation du Factory Pattern pour les aspects des pièces(couleur + divers apects,,)</t>
  </si>
  <si>
    <t>Afficher le tour de jeu message au centre de l écran: Ajouter component YourTurn</t>
  </si>
  <si>
    <t>Implémentation des combats</t>
  </si>
  <si>
    <t xml:space="preserve"> </t>
  </si>
  <si>
    <t>Création du componant graveyard.jsx pour les CapturedPieces et LostPieces</t>
  </si>
  <si>
    <t>Afficher le tour de jeu au centre de l'écran</t>
  </si>
  <si>
    <t>Bloquer toutes les interactions si pas son tour dans game.jsx</t>
  </si>
  <si>
    <t>Ajout des compteurs de pieces dans les cimetieres en fonction des resultats de combat</t>
  </si>
  <si>
    <t xml:space="preserve">Ajouter le score de chaque joueur scores: component panel utilisé et customisé pour les scores </t>
  </si>
  <si>
    <t>Mise a jour useGameSync pour récupérer les scores depuis le serveur</t>
  </si>
  <si>
    <t>Fixer le problème de décalage du plateau pendant le combat</t>
  </si>
  <si>
    <t>Ajout de la page leaderboard :  aspect sans fetch</t>
  </si>
  <si>
    <t>Modifier frontend pour recuperer ordre du joueur (plus hardcodé dans le code)</t>
  </si>
  <si>
    <t>Leaderboard fetch données depuis le serveur</t>
  </si>
  <si>
    <t>Sauvegarde de scores dans bd</t>
  </si>
  <si>
    <t>Requête leaderboard</t>
  </si>
  <si>
    <t xml:space="preserve">Problèmes de synchronisation pendant la pause des combats. </t>
  </si>
  <si>
    <t>Amélioré la façon de récupérer les mouvements des joueurs. Bloqué les mouvements après le combat avant e changement de tour. Refonte des updates des plateaux de jeu après les combats.</t>
  </si>
  <si>
    <t>Terminer les stratégies de préparation de l'AI</t>
  </si>
  <si>
    <t>Terminer les formules heuristiques d'évaluation des mouvements MCTS</t>
  </si>
  <si>
    <t>Terminer l'implémentation des BeliefStates (reveals après les combats)</t>
  </si>
  <si>
    <t>Refonte de la déterminization avant une itération du MCTS</t>
  </si>
  <si>
    <t>Implémentation du Belief State (aspect BeliefPieces, updates et déterminization de base)</t>
  </si>
  <si>
    <t>Implémentation de l'AI niveau facile</t>
  </si>
  <si>
    <t>Implémentation des priors des mouvements MCTS</t>
  </si>
  <si>
    <t>Implémentation de l'AI moyen et difficile</t>
  </si>
  <si>
    <t>Mettre sur le serveur</t>
  </si>
  <si>
    <t>Implémenter le MCTS de base</t>
  </si>
  <si>
    <t>Faire button et action abandonner</t>
  </si>
  <si>
    <t>Faire button et action save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</si>
</sst>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9" fontId="0" fillId="0" borderId="4" xfId="0" applyNumberFormat="1" applyBorder="1"/>
    <xf numFmtId="9" fontId="0" fillId="0" borderId="0" xfId="0" applyNumberFormat="1"/>
    <xf numFmtId="0" fontId="0" fillId="3" borderId="11" xfId="0" applyFill="1" applyBorder="1"/>
    <xf numFmtId="9" fontId="0" fillId="3" borderId="4" xfId="0" applyNumberFormat="1" applyFill="1" applyBorder="1"/>
    <xf numFmtId="0" fontId="0" fillId="3" borderId="5" xfId="0" applyFill="1" applyBorder="1"/>
    <xf numFmtId="0" fontId="0" fillId="3" borderId="10" xfId="0" applyFill="1" applyBorder="1"/>
    <xf numFmtId="9" fontId="0" fillId="3" borderId="0" xfId="0" applyNumberFormat="1" applyFill="1"/>
    <xf numFmtId="0" fontId="0" fillId="3" borderId="7" xfId="0" applyFill="1" applyBorder="1"/>
    <xf numFmtId="0" fontId="0" fillId="3" borderId="0" xfId="0" applyFill="1"/>
    <xf numFmtId="0" fontId="0" fillId="3" borderId="1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horizontal="right"/>
    </xf>
    <xf numFmtId="0" fontId="0" fillId="0" borderId="17" xfId="0" applyBorder="1"/>
    <xf numFmtId="0" fontId="0" fillId="3" borderId="12" xfId="0" applyFill="1" applyBorder="1" applyAlignment="1">
      <alignment horizontal="center"/>
    </xf>
    <xf numFmtId="9" fontId="0" fillId="3" borderId="8" xfId="0" applyNumberFormat="1" applyFill="1" applyBorder="1"/>
    <xf numFmtId="0" fontId="0" fillId="3" borderId="8" xfId="0" applyFill="1" applyBorder="1"/>
    <xf numFmtId="9" fontId="0" fillId="0" borderId="8" xfId="0" applyNumberFormat="1" applyBorder="1"/>
    <xf numFmtId="0" fontId="0" fillId="3" borderId="12" xfId="0" applyFill="1" applyBorder="1"/>
    <xf numFmtId="0" fontId="0" fillId="0" borderId="5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4" xfId="0" applyBorder="1" applyAlignment="1">
      <alignment horizontal="center"/>
    </xf>
    <xf numFmtId="0" fontId="5" fillId="4" borderId="21" xfId="0" applyFont="1" applyFill="1" applyBorder="1"/>
    <xf numFmtId="16" fontId="5" fillId="4" borderId="22" xfId="0" applyNumberFormat="1" applyFont="1" applyFill="1" applyBorder="1" applyAlignment="1">
      <alignment horizontal="center" vertical="center"/>
    </xf>
    <xf numFmtId="0" fontId="5" fillId="4" borderId="23" xfId="0" applyFont="1" applyFill="1" applyBorder="1"/>
    <xf numFmtId="0" fontId="5" fillId="4" borderId="22" xfId="0" applyFont="1" applyFill="1" applyBorder="1"/>
    <xf numFmtId="0" fontId="0" fillId="0" borderId="10" xfId="0" applyBorder="1" applyAlignment="1">
      <alignment wrapText="1"/>
    </xf>
    <xf numFmtId="0" fontId="0" fillId="0" borderId="14" xfId="0" applyBorder="1" applyAlignment="1">
      <alignment horizontal="left"/>
    </xf>
    <xf numFmtId="0" fontId="0" fillId="6" borderId="14" xfId="0" applyFill="1" applyBorder="1"/>
    <xf numFmtId="0" fontId="0" fillId="7" borderId="10" xfId="0" applyFill="1" applyBorder="1"/>
    <xf numFmtId="0" fontId="0" fillId="7" borderId="14" xfId="0" applyFill="1" applyBorder="1"/>
    <xf numFmtId="0" fontId="0" fillId="6" borderId="13" xfId="0" applyFill="1" applyBorder="1"/>
    <xf numFmtId="0" fontId="0" fillId="8" borderId="14" xfId="0" applyFill="1" applyBorder="1"/>
    <xf numFmtId="0" fontId="0" fillId="8" borderId="10" xfId="0" applyFill="1" applyBorder="1"/>
    <xf numFmtId="0" fontId="0" fillId="9" borderId="10" xfId="0" applyFill="1" applyBorder="1"/>
    <xf numFmtId="0" fontId="0" fillId="9" borderId="14" xfId="0" applyFill="1" applyBorder="1"/>
    <xf numFmtId="0" fontId="0" fillId="9" borderId="12" xfId="0" applyFill="1" applyBorder="1"/>
    <xf numFmtId="0" fontId="0" fillId="9" borderId="15" xfId="0" applyFill="1" applyBorder="1"/>
    <xf numFmtId="0" fontId="0" fillId="0" borderId="6" xfId="0" applyBorder="1"/>
    <xf numFmtId="0" fontId="5" fillId="4" borderId="23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1" fillId="5" borderId="16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</cellXfs>
  <cellStyles count="1">
    <cellStyle name="Normal" xfId="0" builtinId="0"/>
  </cellStyles>
  <dxfs count="39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H7" sqref="H7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9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48" t="s">
        <v>141</v>
      </c>
      <c r="C6" s="51" t="s">
        <v>3</v>
      </c>
      <c r="D6" s="28" t="s">
        <v>142</v>
      </c>
      <c r="E6" s="10">
        <v>10</v>
      </c>
    </row>
    <row r="7" spans="2:5" x14ac:dyDescent="0.35">
      <c r="B7" s="52" t="s">
        <v>111</v>
      </c>
      <c r="C7" s="52" t="s">
        <v>6</v>
      </c>
      <c r="D7" s="29" t="s">
        <v>142</v>
      </c>
      <c r="E7" s="11">
        <v>4</v>
      </c>
    </row>
    <row r="8" spans="2:5" x14ac:dyDescent="0.35">
      <c r="B8" s="53" t="s">
        <v>112</v>
      </c>
      <c r="C8" s="52" t="s">
        <v>6</v>
      </c>
      <c r="D8" s="29" t="s">
        <v>142</v>
      </c>
      <c r="E8" s="11">
        <v>4</v>
      </c>
    </row>
    <row r="9" spans="2:5" x14ac:dyDescent="0.35">
      <c r="B9" s="53" t="s">
        <v>113</v>
      </c>
      <c r="C9" s="52" t="s">
        <v>6</v>
      </c>
      <c r="D9" s="29" t="s">
        <v>142</v>
      </c>
      <c r="E9" s="11">
        <v>2</v>
      </c>
    </row>
    <row r="10" spans="2:5" x14ac:dyDescent="0.35">
      <c r="B10" s="53" t="s">
        <v>114</v>
      </c>
      <c r="C10" s="52" t="s">
        <v>6</v>
      </c>
      <c r="D10" s="29" t="s">
        <v>142</v>
      </c>
      <c r="E10" s="11">
        <v>1</v>
      </c>
    </row>
    <row r="11" spans="2:5" x14ac:dyDescent="0.35">
      <c r="B11" s="53" t="s">
        <v>116</v>
      </c>
      <c r="C11" s="52" t="s">
        <v>6</v>
      </c>
      <c r="D11" s="29" t="s">
        <v>142</v>
      </c>
      <c r="E11" s="11">
        <v>1</v>
      </c>
    </row>
    <row r="12" spans="2:5" x14ac:dyDescent="0.35">
      <c r="B12" s="53" t="s">
        <v>117</v>
      </c>
      <c r="C12" s="52" t="s">
        <v>6</v>
      </c>
      <c r="D12" s="29" t="s">
        <v>142</v>
      </c>
      <c r="E12" s="11">
        <v>3</v>
      </c>
    </row>
    <row r="13" spans="2:5" x14ac:dyDescent="0.35">
      <c r="B13" s="53" t="s">
        <v>118</v>
      </c>
      <c r="C13" s="52" t="s">
        <v>6</v>
      </c>
      <c r="D13" s="29" t="s">
        <v>142</v>
      </c>
      <c r="E13" s="11">
        <v>3</v>
      </c>
    </row>
    <row r="14" spans="2:5" x14ac:dyDescent="0.35">
      <c r="B14" s="53" t="s">
        <v>145</v>
      </c>
      <c r="C14" s="52" t="s">
        <v>6</v>
      </c>
      <c r="D14" s="29" t="s">
        <v>142</v>
      </c>
      <c r="E14" s="11">
        <v>2</v>
      </c>
    </row>
    <row r="15" spans="2:5" x14ac:dyDescent="0.35">
      <c r="B15" s="53" t="s">
        <v>121</v>
      </c>
      <c r="C15" s="52" t="s">
        <v>6</v>
      </c>
      <c r="D15" s="29" t="s">
        <v>142</v>
      </c>
      <c r="E15" s="11">
        <v>4</v>
      </c>
    </row>
    <row r="16" spans="2:5" x14ac:dyDescent="0.35">
      <c r="B16" s="53" t="s">
        <v>122</v>
      </c>
      <c r="C16" s="52" t="s">
        <v>6</v>
      </c>
      <c r="D16" s="29" t="s">
        <v>142</v>
      </c>
      <c r="E16" s="11">
        <v>1</v>
      </c>
    </row>
    <row r="17" spans="2:5" x14ac:dyDescent="0.35">
      <c r="B17" s="53" t="s">
        <v>124</v>
      </c>
      <c r="C17" s="52" t="s">
        <v>6</v>
      </c>
      <c r="D17" s="29" t="s">
        <v>142</v>
      </c>
      <c r="E17" s="11">
        <v>2</v>
      </c>
    </row>
    <row r="18" spans="2:5" x14ac:dyDescent="0.35">
      <c r="B18" s="53" t="s">
        <v>130</v>
      </c>
      <c r="C18" s="52" t="s">
        <v>6</v>
      </c>
      <c r="D18" s="29" t="s">
        <v>142</v>
      </c>
      <c r="E18" s="11">
        <v>1.5</v>
      </c>
    </row>
    <row r="19" spans="2:5" x14ac:dyDescent="0.35">
      <c r="B19" s="49" t="s">
        <v>119</v>
      </c>
      <c r="C19" s="50" t="s">
        <v>16</v>
      </c>
      <c r="D19" s="29" t="s">
        <v>142</v>
      </c>
      <c r="E19" s="11">
        <v>3</v>
      </c>
    </row>
    <row r="20" spans="2:5" x14ac:dyDescent="0.35">
      <c r="B20" s="49" t="s">
        <v>120</v>
      </c>
      <c r="C20" s="50" t="s">
        <v>16</v>
      </c>
      <c r="D20" s="29" t="s">
        <v>144</v>
      </c>
      <c r="E20" s="11">
        <v>4</v>
      </c>
    </row>
    <row r="21" spans="2:5" x14ac:dyDescent="0.35">
      <c r="B21" s="49" t="s">
        <v>125</v>
      </c>
      <c r="C21" s="50" t="s">
        <v>16</v>
      </c>
      <c r="D21" s="29" t="s">
        <v>142</v>
      </c>
      <c r="E21" s="11">
        <v>3</v>
      </c>
    </row>
    <row r="22" spans="2:5" x14ac:dyDescent="0.35">
      <c r="B22" s="49" t="s">
        <v>126</v>
      </c>
      <c r="C22" s="50" t="s">
        <v>16</v>
      </c>
      <c r="D22" s="29" t="s">
        <v>142</v>
      </c>
      <c r="E22" s="11">
        <v>2</v>
      </c>
    </row>
    <row r="23" spans="2:5" x14ac:dyDescent="0.35">
      <c r="B23" s="49" t="s">
        <v>127</v>
      </c>
      <c r="C23" s="50" t="s">
        <v>16</v>
      </c>
      <c r="D23" s="29" t="s">
        <v>142</v>
      </c>
      <c r="E23" s="11">
        <v>4</v>
      </c>
    </row>
    <row r="24" spans="2:5" x14ac:dyDescent="0.35">
      <c r="B24" s="49" t="s">
        <v>129</v>
      </c>
      <c r="C24" s="50" t="s">
        <v>16</v>
      </c>
      <c r="D24" s="29" t="s">
        <v>144</v>
      </c>
      <c r="E24" s="11">
        <v>1.5</v>
      </c>
    </row>
    <row r="25" spans="2:5" x14ac:dyDescent="0.35">
      <c r="B25" s="49" t="s">
        <v>133</v>
      </c>
      <c r="C25" s="50" t="s">
        <v>16</v>
      </c>
      <c r="D25" s="29" t="s">
        <v>142</v>
      </c>
      <c r="E25" s="11">
        <v>5</v>
      </c>
    </row>
    <row r="26" spans="2:5" x14ac:dyDescent="0.35">
      <c r="B26" s="49" t="s">
        <v>134</v>
      </c>
      <c r="C26" s="50" t="s">
        <v>16</v>
      </c>
      <c r="D26" s="29" t="s">
        <v>144</v>
      </c>
      <c r="E26" s="11">
        <v>3</v>
      </c>
    </row>
    <row r="27" spans="2:5" x14ac:dyDescent="0.35">
      <c r="B27" s="49" t="s">
        <v>135</v>
      </c>
      <c r="C27" s="50" t="s">
        <v>16</v>
      </c>
      <c r="D27" s="29" t="s">
        <v>142</v>
      </c>
      <c r="E27" s="11">
        <v>7</v>
      </c>
    </row>
    <row r="28" spans="2:5" x14ac:dyDescent="0.35">
      <c r="B28" s="54" t="s">
        <v>128</v>
      </c>
      <c r="C28" s="55" t="s">
        <v>17</v>
      </c>
      <c r="D28" s="29" t="s">
        <v>143</v>
      </c>
      <c r="E28" s="11">
        <v>1</v>
      </c>
    </row>
    <row r="29" spans="2:5" x14ac:dyDescent="0.35">
      <c r="B29" s="54" t="s">
        <v>131</v>
      </c>
      <c r="C29" s="55" t="s">
        <v>17</v>
      </c>
      <c r="D29" s="29" t="s">
        <v>144</v>
      </c>
      <c r="E29" s="11">
        <v>3.5</v>
      </c>
    </row>
    <row r="30" spans="2:5" x14ac:dyDescent="0.35">
      <c r="B30" s="54" t="s">
        <v>123</v>
      </c>
      <c r="C30" s="55" t="s">
        <v>17</v>
      </c>
      <c r="D30" s="29" t="s">
        <v>144</v>
      </c>
      <c r="E30" s="11">
        <v>4</v>
      </c>
    </row>
    <row r="31" spans="2:5" x14ac:dyDescent="0.35">
      <c r="B31" s="54" t="s">
        <v>132</v>
      </c>
      <c r="C31" s="55" t="s">
        <v>17</v>
      </c>
      <c r="D31" s="29" t="s">
        <v>143</v>
      </c>
      <c r="E31" s="11">
        <v>3</v>
      </c>
    </row>
    <row r="32" spans="2:5" x14ac:dyDescent="0.35">
      <c r="B32" s="54" t="s">
        <v>136</v>
      </c>
      <c r="C32" s="55" t="s">
        <v>17</v>
      </c>
      <c r="D32" s="29" t="s">
        <v>144</v>
      </c>
      <c r="E32" s="11">
        <v>2</v>
      </c>
    </row>
    <row r="33" spans="2:5" x14ac:dyDescent="0.35">
      <c r="B33" s="54" t="s">
        <v>137</v>
      </c>
      <c r="C33" s="55" t="s">
        <v>17</v>
      </c>
      <c r="D33" s="29" t="s">
        <v>142</v>
      </c>
      <c r="E33" s="11">
        <v>4</v>
      </c>
    </row>
    <row r="34" spans="2:5" x14ac:dyDescent="0.35">
      <c r="B34" s="54" t="s">
        <v>138</v>
      </c>
      <c r="C34" s="55" t="s">
        <v>17</v>
      </c>
      <c r="D34" s="29" t="s">
        <v>143</v>
      </c>
      <c r="E34" s="11">
        <v>4</v>
      </c>
    </row>
    <row r="35" spans="2:5" x14ac:dyDescent="0.35">
      <c r="B35" s="54" t="s">
        <v>139</v>
      </c>
      <c r="C35" s="55" t="s">
        <v>17</v>
      </c>
      <c r="D35" s="29" t="s">
        <v>143</v>
      </c>
      <c r="E35" s="11">
        <v>4</v>
      </c>
    </row>
    <row r="36" spans="2:5" x14ac:dyDescent="0.35">
      <c r="B36" s="54" t="s">
        <v>140</v>
      </c>
      <c r="C36" s="55" t="s">
        <v>17</v>
      </c>
      <c r="D36" s="29" t="s">
        <v>143</v>
      </c>
      <c r="E36" s="11">
        <v>3</v>
      </c>
    </row>
    <row r="37" spans="2:5" ht="15" thickBot="1" x14ac:dyDescent="0.4">
      <c r="B37" s="56" t="s">
        <v>115</v>
      </c>
      <c r="C37" s="57" t="s">
        <v>17</v>
      </c>
      <c r="D37" s="30" t="s">
        <v>143</v>
      </c>
      <c r="E37" s="13">
        <v>2</v>
      </c>
    </row>
    <row r="38" spans="2:5" ht="15" thickBot="1" x14ac:dyDescent="0.4"/>
    <row r="39" spans="2:5" ht="15" thickBot="1" x14ac:dyDescent="0.4">
      <c r="D39" s="32" t="s">
        <v>146</v>
      </c>
      <c r="E39" s="33">
        <f>SUM(E6:E37)</f>
        <v>101.5</v>
      </c>
    </row>
  </sheetData>
  <autoFilter ref="B5:E37" xr:uid="{93133217-C8F5-4788-AEEB-7509B70AEF5D}"/>
  <conditionalFormatting sqref="B6:B7">
    <cfRule type="expression" dxfId="38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17968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17968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103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16" t="s">
        <v>95</v>
      </c>
      <c r="C5" s="10" t="s">
        <v>106</v>
      </c>
      <c r="D5" s="23" t="s">
        <v>89</v>
      </c>
      <c r="E5" s="17">
        <v>1</v>
      </c>
      <c r="F5" s="18"/>
      <c r="G5" s="26"/>
      <c r="H5" s="14"/>
      <c r="I5" s="10"/>
      <c r="J5" s="26"/>
      <c r="K5" s="9"/>
      <c r="L5" s="10"/>
      <c r="M5" s="26"/>
      <c r="N5" s="9"/>
      <c r="O5" s="9"/>
      <c r="P5" s="26"/>
      <c r="Q5" s="9"/>
      <c r="R5" s="10"/>
    </row>
    <row r="6" spans="1:18" x14ac:dyDescent="0.35">
      <c r="B6" s="19" t="s">
        <v>94</v>
      </c>
      <c r="C6" s="11" t="s">
        <v>106</v>
      </c>
      <c r="D6" s="24"/>
      <c r="F6" s="11"/>
      <c r="G6" s="27" t="s">
        <v>89</v>
      </c>
      <c r="H6" s="20">
        <v>1</v>
      </c>
      <c r="I6" s="21"/>
      <c r="J6" s="24"/>
      <c r="L6" s="11"/>
      <c r="M6" s="24"/>
      <c r="P6" s="24"/>
      <c r="R6" s="11"/>
    </row>
    <row r="7" spans="1:18" x14ac:dyDescent="0.35">
      <c r="B7" s="19" t="s">
        <v>96</v>
      </c>
      <c r="C7" s="11" t="s">
        <v>106</v>
      </c>
      <c r="D7" s="24"/>
      <c r="F7" s="11"/>
      <c r="G7" s="24" t="s">
        <v>89</v>
      </c>
      <c r="H7" s="15">
        <v>0.6</v>
      </c>
      <c r="I7" s="11"/>
      <c r="J7" s="27" t="s">
        <v>89</v>
      </c>
      <c r="K7" s="20">
        <v>1</v>
      </c>
      <c r="L7" s="21"/>
      <c r="M7" s="24"/>
      <c r="P7" s="24"/>
      <c r="R7" s="11"/>
    </row>
    <row r="8" spans="1:18" x14ac:dyDescent="0.35">
      <c r="B8" s="19" t="s">
        <v>102</v>
      </c>
      <c r="C8" s="11" t="s">
        <v>104</v>
      </c>
      <c r="D8" s="24"/>
      <c r="F8" s="11"/>
      <c r="G8" s="24" t="s">
        <v>89</v>
      </c>
      <c r="H8" s="15">
        <v>0.6</v>
      </c>
      <c r="I8" s="11"/>
      <c r="J8" s="24" t="s">
        <v>89</v>
      </c>
      <c r="K8" s="15">
        <v>0.9</v>
      </c>
      <c r="L8" s="11"/>
      <c r="M8" s="27" t="s">
        <v>89</v>
      </c>
      <c r="N8" s="20">
        <v>1</v>
      </c>
      <c r="O8" s="22"/>
      <c r="P8" s="24"/>
      <c r="R8" s="11"/>
    </row>
    <row r="9" spans="1:18" x14ac:dyDescent="0.35">
      <c r="B9" s="19" t="s">
        <v>97</v>
      </c>
      <c r="C9" s="11" t="s">
        <v>106</v>
      </c>
      <c r="D9" s="24"/>
      <c r="F9" s="11"/>
      <c r="G9" s="24" t="s">
        <v>89</v>
      </c>
      <c r="H9" s="15">
        <v>0.3</v>
      </c>
      <c r="I9" s="11"/>
      <c r="J9" s="24" t="s">
        <v>89</v>
      </c>
      <c r="K9" s="15">
        <v>0.7</v>
      </c>
      <c r="L9" s="11"/>
      <c r="M9" s="24" t="s">
        <v>89</v>
      </c>
      <c r="N9" s="15">
        <v>0.9</v>
      </c>
      <c r="P9" s="27" t="s">
        <v>89</v>
      </c>
      <c r="Q9" s="20">
        <v>1</v>
      </c>
      <c r="R9" s="21"/>
    </row>
    <row r="10" spans="1:18" x14ac:dyDescent="0.35">
      <c r="B10" s="19" t="s">
        <v>101</v>
      </c>
      <c r="C10" s="11" t="s">
        <v>106</v>
      </c>
      <c r="D10" s="24"/>
      <c r="F10" s="11"/>
      <c r="G10" s="24" t="s">
        <v>89</v>
      </c>
      <c r="H10" s="15">
        <v>0.2</v>
      </c>
      <c r="I10" s="11"/>
      <c r="J10" s="24" t="s">
        <v>89</v>
      </c>
      <c r="K10" s="15">
        <v>0.6</v>
      </c>
      <c r="L10" s="11"/>
      <c r="M10" s="24" t="s">
        <v>89</v>
      </c>
      <c r="N10" s="15">
        <v>0.9</v>
      </c>
      <c r="P10" s="27" t="s">
        <v>89</v>
      </c>
      <c r="Q10" s="20">
        <v>1</v>
      </c>
      <c r="R10" s="21"/>
    </row>
    <row r="11" spans="1:18" x14ac:dyDescent="0.35">
      <c r="B11" s="19" t="s">
        <v>99</v>
      </c>
      <c r="C11" s="11" t="s">
        <v>106</v>
      </c>
      <c r="D11" s="24"/>
      <c r="F11" s="11"/>
      <c r="G11" s="24"/>
      <c r="I11" s="11"/>
      <c r="J11" s="24" t="s">
        <v>89</v>
      </c>
      <c r="K11" s="15">
        <v>0.3</v>
      </c>
      <c r="L11" s="11"/>
      <c r="M11" s="24" t="s">
        <v>89</v>
      </c>
      <c r="N11" s="15">
        <v>0.9</v>
      </c>
      <c r="P11" s="27" t="s">
        <v>89</v>
      </c>
      <c r="Q11" s="20">
        <v>1</v>
      </c>
      <c r="R11" s="21"/>
    </row>
    <row r="12" spans="1:18" x14ac:dyDescent="0.35">
      <c r="B12" s="19" t="s">
        <v>100</v>
      </c>
      <c r="C12" s="11" t="s">
        <v>105</v>
      </c>
      <c r="D12" s="24"/>
      <c r="F12" s="11"/>
      <c r="G12" s="24"/>
      <c r="I12" s="11"/>
      <c r="J12" s="24" t="s">
        <v>89</v>
      </c>
      <c r="K12" s="15">
        <v>0.5</v>
      </c>
      <c r="L12" s="11"/>
      <c r="M12" s="27" t="s">
        <v>89</v>
      </c>
      <c r="N12" s="20">
        <v>1</v>
      </c>
      <c r="O12" s="22"/>
      <c r="P12" s="24"/>
      <c r="R12" s="11"/>
    </row>
    <row r="13" spans="1:18" ht="15" thickBot="1" x14ac:dyDescent="0.4">
      <c r="B13" s="38" t="s">
        <v>98</v>
      </c>
      <c r="C13" s="13" t="s">
        <v>106</v>
      </c>
      <c r="D13" s="25"/>
      <c r="E13" s="12"/>
      <c r="F13" s="13"/>
      <c r="G13" s="25"/>
      <c r="H13" s="12"/>
      <c r="I13" s="13"/>
      <c r="J13" s="25"/>
      <c r="K13" s="12"/>
      <c r="L13" s="13"/>
      <c r="M13" s="34" t="s">
        <v>89</v>
      </c>
      <c r="N13" s="35">
        <v>1</v>
      </c>
      <c r="O13" s="36"/>
      <c r="P13" s="25"/>
      <c r="Q13" s="37"/>
      <c r="R13" s="13"/>
    </row>
    <row r="21" spans="10:19" x14ac:dyDescent="0.35">
      <c r="J21" s="15"/>
    </row>
    <row r="25" spans="10:19" x14ac:dyDescent="0.35">
      <c r="M25" s="15"/>
      <c r="P25" s="15"/>
      <c r="S25" s="15"/>
    </row>
    <row r="26" spans="10:19" x14ac:dyDescent="0.35">
      <c r="M26" s="15"/>
      <c r="P26" s="15"/>
      <c r="S26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48"/>
  <sheetViews>
    <sheetView topLeftCell="A4" zoomScale="55" zoomScaleNormal="55" workbookViewId="0">
      <selection activeCell="I23" sqref="I23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1796875" bestFit="1" customWidth="1"/>
    <col min="7" max="7" width="16.81640625" bestFit="1" customWidth="1"/>
    <col min="8" max="8" width="20.81640625" bestFit="1" customWidth="1"/>
    <col min="9" max="9" width="74" customWidth="1"/>
    <col min="10" max="10" width="16.5429687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62" t="s">
        <v>6</v>
      </c>
      <c r="C3" s="63"/>
      <c r="D3" s="63"/>
      <c r="E3" s="63"/>
      <c r="F3" s="63"/>
      <c r="G3" s="63"/>
      <c r="H3" s="63"/>
      <c r="I3" s="63"/>
      <c r="J3" s="63"/>
      <c r="K3" s="63"/>
      <c r="L3" s="64"/>
    </row>
    <row r="4" spans="2:12" ht="15" thickBot="1" x14ac:dyDescent="0.4"/>
    <row r="5" spans="2:12" ht="21" x14ac:dyDescent="0.5">
      <c r="B5" s="65" t="s">
        <v>1</v>
      </c>
      <c r="C5" s="67" t="s">
        <v>7</v>
      </c>
      <c r="D5" s="42" t="s">
        <v>13</v>
      </c>
      <c r="E5" s="43">
        <v>46083</v>
      </c>
      <c r="F5" s="69" t="s">
        <v>12</v>
      </c>
      <c r="G5" s="45" t="s">
        <v>14</v>
      </c>
      <c r="H5" s="43">
        <v>46090</v>
      </c>
      <c r="I5" s="69" t="s">
        <v>12</v>
      </c>
      <c r="J5" s="45" t="s">
        <v>15</v>
      </c>
      <c r="K5" s="43">
        <v>46104</v>
      </c>
      <c r="L5" s="69" t="s">
        <v>12</v>
      </c>
    </row>
    <row r="6" spans="2:12" ht="21.5" thickBot="1" x14ac:dyDescent="0.55000000000000004">
      <c r="B6" s="66"/>
      <c r="C6" s="68"/>
      <c r="D6" s="42" t="s">
        <v>10</v>
      </c>
      <c r="E6" s="44" t="s">
        <v>11</v>
      </c>
      <c r="F6" s="70"/>
      <c r="G6" s="44" t="s">
        <v>10</v>
      </c>
      <c r="H6" s="44" t="s">
        <v>11</v>
      </c>
      <c r="I6" s="70"/>
      <c r="J6" s="44" t="s">
        <v>10</v>
      </c>
      <c r="K6" s="44" t="s">
        <v>11</v>
      </c>
      <c r="L6" s="70"/>
    </row>
    <row r="7" spans="2:12" ht="29" x14ac:dyDescent="0.35">
      <c r="B7" s="28" t="s">
        <v>24</v>
      </c>
      <c r="C7" s="28" t="s">
        <v>107</v>
      </c>
      <c r="D7" s="26">
        <v>3.5</v>
      </c>
      <c r="E7" s="41">
        <v>100</v>
      </c>
      <c r="F7" s="39" t="s">
        <v>147</v>
      </c>
      <c r="G7" s="26"/>
      <c r="H7" s="41"/>
      <c r="I7" s="10"/>
      <c r="J7" s="9"/>
      <c r="K7" s="9"/>
      <c r="L7" s="10"/>
    </row>
    <row r="8" spans="2:12" x14ac:dyDescent="0.35">
      <c r="B8" s="29" t="s">
        <v>35</v>
      </c>
      <c r="C8" s="29" t="s">
        <v>104</v>
      </c>
      <c r="D8" s="24">
        <v>1.5</v>
      </c>
      <c r="E8" s="31">
        <v>100</v>
      </c>
      <c r="F8" s="11"/>
      <c r="G8" s="24"/>
      <c r="H8" s="31"/>
      <c r="I8" s="11"/>
      <c r="L8" s="11"/>
    </row>
    <row r="9" spans="2:12" x14ac:dyDescent="0.35">
      <c r="B9" s="29" t="s">
        <v>36</v>
      </c>
      <c r="C9" s="29" t="s">
        <v>104</v>
      </c>
      <c r="D9" s="24">
        <v>0.1</v>
      </c>
      <c r="E9" s="31">
        <v>100</v>
      </c>
      <c r="F9" s="11"/>
      <c r="G9" s="24"/>
      <c r="H9" s="31"/>
      <c r="I9" s="11"/>
      <c r="L9" s="11"/>
    </row>
    <row r="10" spans="2:12" x14ac:dyDescent="0.35">
      <c r="B10" s="29" t="s">
        <v>75</v>
      </c>
      <c r="C10" s="29" t="s">
        <v>105</v>
      </c>
      <c r="D10" s="24">
        <v>0.5</v>
      </c>
      <c r="E10" s="31">
        <v>100</v>
      </c>
      <c r="F10" s="11"/>
      <c r="G10" s="24"/>
      <c r="H10" s="31"/>
      <c r="I10" s="11"/>
      <c r="L10" s="11"/>
    </row>
    <row r="11" spans="2:12" x14ac:dyDescent="0.35">
      <c r="B11" s="29" t="s">
        <v>154</v>
      </c>
      <c r="C11" s="29" t="s">
        <v>107</v>
      </c>
      <c r="D11" s="24">
        <v>0.2</v>
      </c>
      <c r="E11" s="31">
        <v>100</v>
      </c>
      <c r="F11" s="11"/>
      <c r="G11" s="24"/>
      <c r="H11" s="31"/>
      <c r="I11" s="11"/>
      <c r="L11" s="11"/>
    </row>
    <row r="12" spans="2:12" x14ac:dyDescent="0.35">
      <c r="B12" s="29" t="s">
        <v>25</v>
      </c>
      <c r="C12" s="29" t="s">
        <v>104</v>
      </c>
      <c r="D12" s="24"/>
      <c r="E12" s="31"/>
      <c r="F12" s="11"/>
      <c r="G12" s="24">
        <v>0.5</v>
      </c>
      <c r="H12" s="31">
        <v>100</v>
      </c>
      <c r="I12" s="11"/>
      <c r="L12" s="11"/>
    </row>
    <row r="13" spans="2:12" x14ac:dyDescent="0.35">
      <c r="B13" s="29" t="s">
        <v>26</v>
      </c>
      <c r="C13" s="29" t="s">
        <v>104</v>
      </c>
      <c r="D13" s="24"/>
      <c r="E13" s="31"/>
      <c r="F13" s="11"/>
      <c r="G13" s="24">
        <v>0.15</v>
      </c>
      <c r="H13" s="31">
        <v>100</v>
      </c>
      <c r="I13" s="11"/>
      <c r="L13" s="11"/>
    </row>
    <row r="14" spans="2:12" x14ac:dyDescent="0.35">
      <c r="B14" s="29" t="s">
        <v>27</v>
      </c>
      <c r="C14" s="29" t="s">
        <v>104</v>
      </c>
      <c r="D14" s="24"/>
      <c r="E14" s="31"/>
      <c r="F14" s="11"/>
      <c r="G14" s="24">
        <v>0.15</v>
      </c>
      <c r="H14" s="31">
        <v>100</v>
      </c>
      <c r="I14" s="11"/>
      <c r="L14" s="11"/>
    </row>
    <row r="15" spans="2:12" x14ac:dyDescent="0.35">
      <c r="B15" s="29" t="s">
        <v>152</v>
      </c>
      <c r="C15" s="29" t="s">
        <v>104</v>
      </c>
      <c r="D15" s="24"/>
      <c r="E15" s="31"/>
      <c r="F15" s="11"/>
      <c r="G15" s="24">
        <v>0.1</v>
      </c>
      <c r="H15" s="31">
        <v>100</v>
      </c>
      <c r="I15" s="11"/>
      <c r="L15" s="11"/>
    </row>
    <row r="16" spans="2:12" x14ac:dyDescent="0.35">
      <c r="B16" s="29" t="s">
        <v>29</v>
      </c>
      <c r="C16" s="29" t="s">
        <v>104</v>
      </c>
      <c r="D16" s="24"/>
      <c r="E16" s="31"/>
      <c r="F16" s="11"/>
      <c r="G16" s="24">
        <v>1</v>
      </c>
      <c r="H16" s="31">
        <v>100</v>
      </c>
      <c r="I16" s="11"/>
      <c r="L16" s="11"/>
    </row>
    <row r="17" spans="2:12" x14ac:dyDescent="0.35">
      <c r="B17" s="29" t="s">
        <v>30</v>
      </c>
      <c r="C17" s="29" t="s">
        <v>104</v>
      </c>
      <c r="D17" s="24"/>
      <c r="E17" s="31"/>
      <c r="F17" s="11"/>
      <c r="G17" s="24">
        <v>0.2</v>
      </c>
      <c r="H17" s="31">
        <v>100</v>
      </c>
      <c r="I17" s="11"/>
      <c r="L17" s="11"/>
    </row>
    <row r="18" spans="2:12" x14ac:dyDescent="0.35">
      <c r="B18" s="29" t="s">
        <v>150</v>
      </c>
      <c r="C18" s="29" t="s">
        <v>104</v>
      </c>
      <c r="D18" s="24"/>
      <c r="E18" s="31"/>
      <c r="F18" s="11"/>
      <c r="G18" s="24">
        <v>0.1</v>
      </c>
      <c r="H18" s="31">
        <v>100</v>
      </c>
      <c r="I18" s="11"/>
      <c r="L18" s="11"/>
    </row>
    <row r="19" spans="2:12" x14ac:dyDescent="0.35">
      <c r="B19" s="29" t="s">
        <v>151</v>
      </c>
      <c r="C19" s="29" t="s">
        <v>104</v>
      </c>
      <c r="D19" s="24"/>
      <c r="E19" s="31"/>
      <c r="F19" s="11"/>
      <c r="G19" s="24">
        <v>0.5</v>
      </c>
      <c r="H19" s="31">
        <v>100</v>
      </c>
      <c r="I19" s="11"/>
      <c r="L19" s="11"/>
    </row>
    <row r="20" spans="2:12" x14ac:dyDescent="0.35">
      <c r="B20" s="46" t="s">
        <v>159</v>
      </c>
      <c r="C20" s="47" t="s">
        <v>104</v>
      </c>
      <c r="D20" s="24"/>
      <c r="E20" s="31"/>
      <c r="F20" s="11"/>
      <c r="G20" s="24">
        <v>1.5</v>
      </c>
      <c r="H20" s="31">
        <v>100</v>
      </c>
      <c r="I20" s="11"/>
      <c r="L20" s="11"/>
    </row>
    <row r="21" spans="2:12" ht="17.149999999999999" customHeight="1" x14ac:dyDescent="0.35">
      <c r="B21" s="29" t="s">
        <v>91</v>
      </c>
      <c r="C21" s="29" t="s">
        <v>105</v>
      </c>
      <c r="D21" s="24"/>
      <c r="E21" s="31"/>
      <c r="F21" s="11"/>
      <c r="G21" s="24">
        <v>1.5</v>
      </c>
      <c r="H21" s="31">
        <v>100</v>
      </c>
      <c r="I21" s="40" t="s">
        <v>148</v>
      </c>
      <c r="L21" s="11"/>
    </row>
    <row r="22" spans="2:12" x14ac:dyDescent="0.35">
      <c r="B22" s="29" t="s">
        <v>51</v>
      </c>
      <c r="C22" s="29" t="s">
        <v>105</v>
      </c>
      <c r="D22" s="24"/>
      <c r="E22" s="31"/>
      <c r="F22" s="11"/>
      <c r="G22" s="24">
        <v>1</v>
      </c>
      <c r="H22" s="31">
        <v>100</v>
      </c>
      <c r="I22" s="11"/>
      <c r="L22" s="11"/>
    </row>
    <row r="23" spans="2:12" x14ac:dyDescent="0.35">
      <c r="B23" s="29" t="s">
        <v>90</v>
      </c>
      <c r="C23" s="29" t="s">
        <v>105</v>
      </c>
      <c r="D23" s="24"/>
      <c r="E23" s="31"/>
      <c r="F23" s="11"/>
      <c r="G23" s="24">
        <v>2</v>
      </c>
      <c r="H23" s="31">
        <v>100</v>
      </c>
      <c r="I23" s="11" t="s">
        <v>157</v>
      </c>
      <c r="L23" s="11"/>
    </row>
    <row r="24" spans="2:12" x14ac:dyDescent="0.35">
      <c r="B24" s="29" t="s">
        <v>74</v>
      </c>
      <c r="C24" s="29" t="s">
        <v>105</v>
      </c>
      <c r="D24" s="31"/>
      <c r="E24" s="31"/>
      <c r="F24" s="11"/>
      <c r="G24" s="24">
        <v>0.5</v>
      </c>
      <c r="H24" s="31">
        <v>100</v>
      </c>
      <c r="I24" s="11"/>
      <c r="L24" s="11"/>
    </row>
    <row r="25" spans="2:12" x14ac:dyDescent="0.35">
      <c r="B25" s="29" t="s">
        <v>80</v>
      </c>
      <c r="C25" s="29" t="s">
        <v>105</v>
      </c>
      <c r="D25" s="24"/>
      <c r="E25" s="31"/>
      <c r="F25" s="11"/>
      <c r="G25" s="24">
        <v>0.5</v>
      </c>
      <c r="H25" s="31">
        <v>100</v>
      </c>
      <c r="I25" s="11"/>
      <c r="L25" s="11"/>
    </row>
    <row r="26" spans="2:12" x14ac:dyDescent="0.35">
      <c r="B26" s="29" t="s">
        <v>92</v>
      </c>
      <c r="C26" s="29" t="s">
        <v>105</v>
      </c>
      <c r="D26" s="24"/>
      <c r="E26" s="31"/>
      <c r="F26" s="11"/>
      <c r="G26" s="24">
        <v>1</v>
      </c>
      <c r="H26" s="31">
        <v>100</v>
      </c>
      <c r="I26" s="11" t="s">
        <v>155</v>
      </c>
      <c r="L26" s="11"/>
    </row>
    <row r="27" spans="2:12" x14ac:dyDescent="0.35">
      <c r="B27" s="29" t="s">
        <v>93</v>
      </c>
      <c r="C27" s="29" t="s">
        <v>105</v>
      </c>
      <c r="D27" s="24"/>
      <c r="E27" s="31"/>
      <c r="F27" s="11"/>
      <c r="G27" s="24">
        <v>1</v>
      </c>
      <c r="H27" s="31">
        <v>100</v>
      </c>
      <c r="I27" s="11" t="s">
        <v>158</v>
      </c>
      <c r="L27" s="11"/>
    </row>
    <row r="28" spans="2:12" x14ac:dyDescent="0.35">
      <c r="B28" s="29" t="s">
        <v>79</v>
      </c>
      <c r="C28" s="29" t="s">
        <v>105</v>
      </c>
      <c r="D28" s="24"/>
      <c r="E28" s="31"/>
      <c r="F28" s="11"/>
      <c r="G28" s="24">
        <v>0.5</v>
      </c>
      <c r="H28" s="31">
        <v>100</v>
      </c>
      <c r="I28" s="40" t="s">
        <v>149</v>
      </c>
      <c r="L28" s="11"/>
    </row>
    <row r="29" spans="2:12" x14ac:dyDescent="0.35">
      <c r="B29" s="29" t="s">
        <v>76</v>
      </c>
      <c r="C29" s="29" t="s">
        <v>105</v>
      </c>
      <c r="D29" s="24"/>
      <c r="E29" s="31"/>
      <c r="F29" s="11"/>
      <c r="G29" s="24">
        <v>1</v>
      </c>
      <c r="H29" s="31">
        <v>100</v>
      </c>
      <c r="I29" s="11"/>
      <c r="L29" s="11"/>
    </row>
    <row r="30" spans="2:12" x14ac:dyDescent="0.35">
      <c r="B30" s="29" t="s">
        <v>174</v>
      </c>
      <c r="C30" s="29" t="s">
        <v>104</v>
      </c>
      <c r="D30" s="24"/>
      <c r="E30" s="31"/>
      <c r="F30" s="11"/>
      <c r="G30" s="31">
        <v>2</v>
      </c>
      <c r="H30" s="31">
        <v>100</v>
      </c>
      <c r="I30" s="11"/>
      <c r="L30" s="11"/>
    </row>
    <row r="31" spans="2:12" x14ac:dyDescent="0.35">
      <c r="B31" s="29" t="s">
        <v>42</v>
      </c>
      <c r="C31" s="29" t="s">
        <v>104</v>
      </c>
      <c r="D31" s="24"/>
      <c r="E31" s="31"/>
      <c r="F31" s="11"/>
      <c r="I31" s="11"/>
      <c r="J31" s="24">
        <v>1</v>
      </c>
      <c r="K31" s="31">
        <v>100</v>
      </c>
      <c r="L31" s="11"/>
    </row>
    <row r="32" spans="2:12" x14ac:dyDescent="0.35">
      <c r="B32" s="29" t="s">
        <v>43</v>
      </c>
      <c r="C32" s="29" t="s">
        <v>104</v>
      </c>
      <c r="D32" s="24"/>
      <c r="E32" s="31"/>
      <c r="F32" s="11"/>
      <c r="I32" s="11"/>
      <c r="J32" s="24">
        <v>1</v>
      </c>
      <c r="K32" s="31">
        <v>100</v>
      </c>
      <c r="L32" s="11"/>
    </row>
    <row r="33" spans="2:12" x14ac:dyDescent="0.35">
      <c r="B33" s="29" t="s">
        <v>153</v>
      </c>
      <c r="C33" s="29" t="s">
        <v>104</v>
      </c>
      <c r="D33" s="24"/>
      <c r="E33" s="31"/>
      <c r="F33" s="11"/>
      <c r="I33" s="11"/>
      <c r="J33" s="24">
        <v>1</v>
      </c>
      <c r="K33" s="31">
        <v>100</v>
      </c>
      <c r="L33" s="11"/>
    </row>
    <row r="34" spans="2:12" x14ac:dyDescent="0.35">
      <c r="B34" s="29" t="s">
        <v>156</v>
      </c>
      <c r="C34" s="29" t="s">
        <v>104</v>
      </c>
      <c r="D34" s="24"/>
      <c r="E34" s="31"/>
      <c r="F34" s="11"/>
      <c r="I34" s="11"/>
      <c r="J34" s="24">
        <v>0.25</v>
      </c>
      <c r="K34" s="31">
        <v>100</v>
      </c>
      <c r="L34" s="11"/>
    </row>
    <row r="35" spans="2:12" x14ac:dyDescent="0.35">
      <c r="B35" s="29" t="s">
        <v>73</v>
      </c>
      <c r="C35" s="29" t="s">
        <v>104</v>
      </c>
      <c r="D35" s="24"/>
      <c r="E35" s="31"/>
      <c r="F35" s="11"/>
      <c r="I35" s="11"/>
      <c r="J35" s="24">
        <v>1</v>
      </c>
      <c r="K35" s="31">
        <v>100</v>
      </c>
      <c r="L35" s="11"/>
    </row>
    <row r="36" spans="2:12" x14ac:dyDescent="0.35">
      <c r="B36" s="29" t="s">
        <v>38</v>
      </c>
      <c r="C36" s="29" t="s">
        <v>104</v>
      </c>
      <c r="D36" s="24"/>
      <c r="E36" s="31"/>
      <c r="F36" s="11"/>
      <c r="I36" s="11"/>
      <c r="J36" s="24">
        <v>1</v>
      </c>
      <c r="K36" s="31">
        <v>100</v>
      </c>
      <c r="L36" s="11"/>
    </row>
    <row r="37" spans="2:12" x14ac:dyDescent="0.35">
      <c r="B37" s="29" t="s">
        <v>39</v>
      </c>
      <c r="C37" s="29" t="s">
        <v>104</v>
      </c>
      <c r="D37" s="24"/>
      <c r="E37" s="31"/>
      <c r="F37" s="11"/>
      <c r="I37" s="11"/>
      <c r="J37" s="24">
        <v>2</v>
      </c>
      <c r="K37" s="31">
        <v>100</v>
      </c>
      <c r="L37" s="11"/>
    </row>
    <row r="38" spans="2:12" x14ac:dyDescent="0.35">
      <c r="B38" s="29" t="s">
        <v>170</v>
      </c>
      <c r="C38" s="29" t="s">
        <v>104</v>
      </c>
      <c r="D38" s="24"/>
      <c r="E38" s="31"/>
      <c r="F38" s="11"/>
      <c r="I38" s="11"/>
      <c r="J38" s="24">
        <v>1</v>
      </c>
      <c r="K38" s="31">
        <v>100</v>
      </c>
      <c r="L38" s="11"/>
    </row>
    <row r="39" spans="2:12" x14ac:dyDescent="0.35">
      <c r="B39" s="29" t="s">
        <v>171</v>
      </c>
      <c r="C39" s="29" t="s">
        <v>104</v>
      </c>
      <c r="D39" s="24"/>
      <c r="E39" s="31"/>
      <c r="F39" s="11"/>
      <c r="I39" s="11"/>
      <c r="J39" s="24">
        <v>1</v>
      </c>
      <c r="K39" s="31">
        <v>100</v>
      </c>
      <c r="L39" s="11"/>
    </row>
    <row r="40" spans="2:12" x14ac:dyDescent="0.35">
      <c r="B40" s="29" t="s">
        <v>168</v>
      </c>
      <c r="C40" s="29" t="s">
        <v>104</v>
      </c>
      <c r="D40" s="24"/>
      <c r="E40" s="31"/>
      <c r="F40" s="11"/>
      <c r="I40" s="11"/>
      <c r="J40" s="24">
        <v>0.75</v>
      </c>
      <c r="K40" s="31">
        <v>100</v>
      </c>
      <c r="L40" s="11"/>
    </row>
    <row r="41" spans="2:12" x14ac:dyDescent="0.35">
      <c r="B41" s="29" t="s">
        <v>169</v>
      </c>
      <c r="C41" s="29" t="s">
        <v>104</v>
      </c>
      <c r="D41" s="24"/>
      <c r="E41" s="31"/>
      <c r="F41" s="11"/>
      <c r="I41" s="11"/>
      <c r="J41" s="24">
        <v>1</v>
      </c>
      <c r="K41" s="31">
        <v>100</v>
      </c>
      <c r="L41" s="11"/>
    </row>
    <row r="42" spans="2:12" x14ac:dyDescent="0.35">
      <c r="B42" s="29" t="s">
        <v>166</v>
      </c>
      <c r="C42" s="29" t="s">
        <v>104</v>
      </c>
      <c r="D42" s="24"/>
      <c r="E42" s="31"/>
      <c r="F42" s="11"/>
      <c r="I42" s="11"/>
      <c r="J42" s="24">
        <v>0.5</v>
      </c>
      <c r="K42" s="31">
        <v>100</v>
      </c>
      <c r="L42" s="11"/>
    </row>
    <row r="43" spans="2:12" x14ac:dyDescent="0.35">
      <c r="B43" s="29" t="s">
        <v>165</v>
      </c>
      <c r="C43" s="29" t="s">
        <v>104</v>
      </c>
      <c r="D43" s="24"/>
      <c r="E43" s="31"/>
      <c r="F43" s="11"/>
      <c r="I43" s="11"/>
      <c r="J43" s="24">
        <v>0.5</v>
      </c>
      <c r="K43" s="31">
        <v>100</v>
      </c>
      <c r="L43" s="11"/>
    </row>
    <row r="44" spans="2:12" x14ac:dyDescent="0.35">
      <c r="B44" s="29" t="s">
        <v>161</v>
      </c>
      <c r="C44" s="29" t="s">
        <v>104</v>
      </c>
      <c r="D44" s="24"/>
      <c r="E44" s="31"/>
      <c r="F44" s="11"/>
      <c r="I44" s="11"/>
      <c r="J44" s="24">
        <v>1</v>
      </c>
      <c r="K44" s="31">
        <v>100</v>
      </c>
      <c r="L44" s="11"/>
    </row>
    <row r="45" spans="2:12" x14ac:dyDescent="0.35">
      <c r="B45" s="29" t="s">
        <v>160</v>
      </c>
      <c r="C45" s="29" t="s">
        <v>104</v>
      </c>
      <c r="D45" s="24"/>
      <c r="E45" s="31"/>
      <c r="F45" s="11"/>
      <c r="I45" s="11"/>
      <c r="J45" s="24">
        <v>0.75</v>
      </c>
      <c r="K45" s="31">
        <v>100</v>
      </c>
      <c r="L45" s="11"/>
    </row>
    <row r="46" spans="2:12" x14ac:dyDescent="0.35">
      <c r="B46" s="29" t="s">
        <v>164</v>
      </c>
      <c r="C46" s="29" t="s">
        <v>104</v>
      </c>
      <c r="D46" s="24"/>
      <c r="E46" s="31"/>
      <c r="F46" s="11"/>
      <c r="I46" s="11"/>
      <c r="J46" s="24">
        <v>0.75</v>
      </c>
      <c r="K46" s="31">
        <v>100</v>
      </c>
      <c r="L46" s="11"/>
    </row>
    <row r="47" spans="2:12" x14ac:dyDescent="0.35">
      <c r="B47" s="29" t="s">
        <v>172</v>
      </c>
      <c r="C47" s="29" t="s">
        <v>104</v>
      </c>
      <c r="D47" s="24"/>
      <c r="E47" s="31"/>
      <c r="F47" s="11"/>
      <c r="I47" s="11"/>
      <c r="J47" s="24">
        <v>2</v>
      </c>
      <c r="K47" s="31">
        <v>100</v>
      </c>
      <c r="L47" s="11"/>
    </row>
    <row r="48" spans="2:12" x14ac:dyDescent="0.35">
      <c r="B48" s="58" t="s">
        <v>163</v>
      </c>
      <c r="C48" s="29" t="s">
        <v>104</v>
      </c>
      <c r="D48" s="24"/>
      <c r="E48" s="31"/>
      <c r="F48" s="11"/>
      <c r="I48" s="11"/>
      <c r="J48" s="24">
        <v>1</v>
      </c>
      <c r="K48" s="31">
        <v>100</v>
      </c>
      <c r="L48" s="11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43">
    <cfRule type="expression" dxfId="37" priority="7">
      <formula>MAX($E1,$H1,$K1)=100</formula>
    </cfRule>
  </conditionalFormatting>
  <conditionalFormatting sqref="B30:B42">
    <cfRule type="expression" dxfId="36" priority="1">
      <formula>MAX($E30,$K30,#REF!)=100</formula>
    </cfRule>
  </conditionalFormatting>
  <conditionalFormatting sqref="B44">
    <cfRule type="expression" dxfId="35" priority="32">
      <formula>MAX($E46,$H46,$K46)=100</formula>
    </cfRule>
    <cfRule type="expression" dxfId="34" priority="38">
      <formula>MAX($E46,$K46,#REF!)=100</formula>
    </cfRule>
  </conditionalFormatting>
  <conditionalFormatting sqref="B45 B47:B48">
    <cfRule type="expression" dxfId="33" priority="30">
      <formula>MAX($E45,$K45,#REF!)=100</formula>
    </cfRule>
  </conditionalFormatting>
  <conditionalFormatting sqref="B45:B1048576">
    <cfRule type="expression" dxfId="32" priority="6">
      <formula>MAX($E45,$H45,$K45)=100</formula>
    </cfRule>
  </conditionalFormatting>
  <conditionalFormatting sqref="C1:C45">
    <cfRule type="expression" dxfId="31" priority="25">
      <formula>$C1="Charlotte"</formula>
    </cfRule>
    <cfRule type="expression" dxfId="30" priority="27">
      <formula>$C1="Eddy"</formula>
    </cfRule>
  </conditionalFormatting>
  <conditionalFormatting sqref="C1:C1048576">
    <cfRule type="expression" dxfId="29" priority="8">
      <formula>$C1="Charlotte/Eddy"</formula>
    </cfRule>
  </conditionalFormatting>
  <conditionalFormatting sqref="C42:C1048576">
    <cfRule type="expression" dxfId="28" priority="13">
      <formula>$C42="Charlotte"</formula>
    </cfRule>
    <cfRule type="expression" dxfId="27" priority="14">
      <formula>$C42="Eddy"</formula>
    </cfRule>
  </conditionalFormatting>
  <conditionalFormatting sqref="C47">
    <cfRule type="expression" dxfId="26" priority="20">
      <formula>$C47="Charlotte"</formula>
    </cfRule>
    <cfRule type="expression" dxfId="25" priority="21">
      <formula>$C47="Eddy"</formula>
    </cfRule>
  </conditionalFormatting>
  <conditionalFormatting sqref="C48">
    <cfRule type="expression" dxfId="24" priority="9">
      <formula>$C48="Charlotte"</formula>
    </cfRule>
    <cfRule type="expression" dxfId="23" priority="10">
      <formula>$C48="Eddy"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67"/>
  <sheetViews>
    <sheetView topLeftCell="A13" zoomScale="85" zoomScaleNormal="85" workbookViewId="0">
      <selection activeCell="F69" sqref="F69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style="31" bestFit="1" customWidth="1"/>
    <col min="8" max="8" width="21.54296875" style="31" bestFit="1" customWidth="1"/>
    <col min="9" max="9" width="52.81640625" customWidth="1"/>
    <col min="10" max="10" width="16" bestFit="1" customWidth="1"/>
    <col min="11" max="11" width="21.54296875" bestFit="1" customWidth="1"/>
    <col min="12" max="12" width="51.54296875" customWidth="1"/>
  </cols>
  <sheetData>
    <row r="1" spans="2:12" ht="46.5" thickBot="1" x14ac:dyDescent="1.05">
      <c r="B1" s="62" t="s">
        <v>16</v>
      </c>
      <c r="C1" s="63"/>
      <c r="D1" s="63"/>
      <c r="E1" s="63"/>
      <c r="F1" s="63"/>
      <c r="G1" s="63"/>
      <c r="H1" s="63"/>
      <c r="I1" s="63"/>
      <c r="J1" s="63"/>
      <c r="K1" s="63"/>
      <c r="L1" s="64"/>
    </row>
    <row r="3" spans="2:12" ht="15" thickBot="1" x14ac:dyDescent="0.4"/>
    <row r="4" spans="2:12" ht="21" x14ac:dyDescent="0.5">
      <c r="B4" s="65" t="s">
        <v>1</v>
      </c>
      <c r="C4" s="67" t="s">
        <v>7</v>
      </c>
      <c r="D4" s="42" t="s">
        <v>13</v>
      </c>
      <c r="E4" s="43">
        <v>46111</v>
      </c>
      <c r="F4" s="69" t="s">
        <v>12</v>
      </c>
      <c r="G4" s="60" t="s">
        <v>14</v>
      </c>
      <c r="H4" s="43">
        <v>46125</v>
      </c>
      <c r="I4" s="69" t="s">
        <v>12</v>
      </c>
      <c r="J4" s="45" t="s">
        <v>15</v>
      </c>
      <c r="K4" s="43">
        <v>46132</v>
      </c>
      <c r="L4" s="69" t="s">
        <v>12</v>
      </c>
    </row>
    <row r="5" spans="2:12" ht="21.5" thickBot="1" x14ac:dyDescent="0.55000000000000004">
      <c r="B5" s="66"/>
      <c r="C5" s="68"/>
      <c r="D5" s="42" t="s">
        <v>10</v>
      </c>
      <c r="E5" s="44" t="s">
        <v>11</v>
      </c>
      <c r="F5" s="70"/>
      <c r="G5" s="59" t="s">
        <v>10</v>
      </c>
      <c r="H5" s="59" t="s">
        <v>11</v>
      </c>
      <c r="I5" s="70"/>
      <c r="J5" s="44" t="s">
        <v>10</v>
      </c>
      <c r="K5" s="44" t="s">
        <v>11</v>
      </c>
      <c r="L5" s="70"/>
    </row>
    <row r="6" spans="2:12" x14ac:dyDescent="0.35">
      <c r="B6" s="29" t="s">
        <v>177</v>
      </c>
      <c r="C6" s="29" t="s">
        <v>104</v>
      </c>
      <c r="D6" s="24">
        <v>0.5</v>
      </c>
      <c r="E6" s="31">
        <v>100</v>
      </c>
      <c r="F6" s="11"/>
      <c r="G6" s="24"/>
      <c r="I6" s="11"/>
      <c r="L6" s="11"/>
    </row>
    <row r="7" spans="2:12" x14ac:dyDescent="0.35">
      <c r="B7" s="29" t="s">
        <v>178</v>
      </c>
      <c r="C7" s="29" t="s">
        <v>104</v>
      </c>
      <c r="D7" s="24">
        <v>0.5</v>
      </c>
      <c r="E7" s="31">
        <v>100</v>
      </c>
      <c r="F7" s="11"/>
      <c r="G7" s="24"/>
      <c r="I7" s="11"/>
      <c r="L7" s="11"/>
    </row>
    <row r="8" spans="2:12" x14ac:dyDescent="0.35">
      <c r="B8" s="29" t="s">
        <v>179</v>
      </c>
      <c r="C8" s="29" t="s">
        <v>104</v>
      </c>
      <c r="D8" s="24">
        <v>0.75</v>
      </c>
      <c r="E8" s="31">
        <v>100</v>
      </c>
      <c r="F8" s="11"/>
      <c r="G8" s="24"/>
      <c r="I8" s="11"/>
      <c r="L8" s="11"/>
    </row>
    <row r="9" spans="2:12" x14ac:dyDescent="0.35">
      <c r="B9" s="29" t="s">
        <v>162</v>
      </c>
      <c r="C9" s="29" t="s">
        <v>104</v>
      </c>
      <c r="D9" s="24">
        <v>0.5</v>
      </c>
      <c r="E9" s="31">
        <v>100</v>
      </c>
      <c r="F9" s="11"/>
      <c r="G9" s="24"/>
      <c r="I9" s="11"/>
      <c r="L9" s="11"/>
    </row>
    <row r="10" spans="2:12" x14ac:dyDescent="0.35">
      <c r="B10" s="29" t="s">
        <v>176</v>
      </c>
      <c r="C10" s="29" t="s">
        <v>104</v>
      </c>
      <c r="D10" s="24">
        <v>0.75</v>
      </c>
      <c r="E10" s="31">
        <v>100</v>
      </c>
      <c r="F10" s="11"/>
      <c r="G10" s="24"/>
      <c r="I10" s="11"/>
      <c r="L10" s="11"/>
    </row>
    <row r="11" spans="2:12" x14ac:dyDescent="0.35">
      <c r="B11" s="29" t="s">
        <v>175</v>
      </c>
      <c r="C11" s="29" t="s">
        <v>104</v>
      </c>
      <c r="D11" s="24">
        <v>1.5</v>
      </c>
      <c r="E11" s="31">
        <v>100</v>
      </c>
      <c r="F11" s="11"/>
      <c r="G11" s="24"/>
      <c r="I11" s="11"/>
      <c r="L11" s="11"/>
    </row>
    <row r="12" spans="2:12" x14ac:dyDescent="0.35">
      <c r="B12" s="29" t="s">
        <v>167</v>
      </c>
      <c r="C12" s="29" t="s">
        <v>104</v>
      </c>
      <c r="D12" s="24">
        <v>1</v>
      </c>
      <c r="E12" s="31">
        <v>100</v>
      </c>
      <c r="F12" s="11"/>
      <c r="G12" s="24"/>
      <c r="I12" s="11"/>
      <c r="L12" s="11"/>
    </row>
    <row r="13" spans="2:12" x14ac:dyDescent="0.35">
      <c r="B13" s="29" t="s">
        <v>173</v>
      </c>
      <c r="C13" s="29" t="s">
        <v>104</v>
      </c>
      <c r="D13" s="24">
        <v>0.75</v>
      </c>
      <c r="E13" s="31">
        <v>100</v>
      </c>
      <c r="F13" s="11"/>
      <c r="G13" s="24"/>
      <c r="I13" s="11"/>
      <c r="L13" s="11"/>
    </row>
    <row r="14" spans="2:12" x14ac:dyDescent="0.35">
      <c r="B14" s="29" t="s">
        <v>180</v>
      </c>
      <c r="C14" s="29" t="s">
        <v>104</v>
      </c>
      <c r="D14" s="24">
        <v>1</v>
      </c>
      <c r="E14" s="31">
        <v>100</v>
      </c>
      <c r="F14" s="11"/>
      <c r="G14" s="24"/>
      <c r="I14" s="11"/>
      <c r="L14" s="11"/>
    </row>
    <row r="15" spans="2:12" x14ac:dyDescent="0.35">
      <c r="B15" s="29" t="s">
        <v>181</v>
      </c>
      <c r="C15" s="29" t="s">
        <v>104</v>
      </c>
      <c r="D15" s="24">
        <v>0.05</v>
      </c>
      <c r="E15" s="31">
        <v>100</v>
      </c>
      <c r="F15" s="11"/>
      <c r="G15" s="24"/>
      <c r="I15" s="11"/>
      <c r="L15" s="11"/>
    </row>
    <row r="16" spans="2:12" x14ac:dyDescent="0.35">
      <c r="B16" s="29" t="s">
        <v>183</v>
      </c>
      <c r="C16" s="29" t="s">
        <v>104</v>
      </c>
      <c r="D16" s="24">
        <v>2</v>
      </c>
      <c r="E16" s="31">
        <v>100</v>
      </c>
      <c r="F16" s="11"/>
      <c r="G16" s="24"/>
      <c r="I16" s="11"/>
      <c r="L16" s="11"/>
    </row>
    <row r="17" spans="2:12" x14ac:dyDescent="0.35">
      <c r="B17" s="29" t="s">
        <v>186</v>
      </c>
      <c r="C17" s="29" t="s">
        <v>104</v>
      </c>
      <c r="D17" s="24">
        <v>1</v>
      </c>
      <c r="E17" s="31">
        <v>100</v>
      </c>
      <c r="F17" s="11"/>
      <c r="G17" s="24"/>
      <c r="I17" s="11"/>
      <c r="L17" s="11"/>
    </row>
    <row r="18" spans="2:12" x14ac:dyDescent="0.35">
      <c r="B18" s="29" t="s">
        <v>187</v>
      </c>
      <c r="C18" s="29" t="s">
        <v>104</v>
      </c>
      <c r="D18" s="24">
        <v>0.25</v>
      </c>
      <c r="E18" s="31">
        <v>100</v>
      </c>
      <c r="F18" s="11"/>
      <c r="G18" s="24"/>
      <c r="I18" s="11"/>
      <c r="L18" s="11"/>
    </row>
    <row r="19" spans="2:12" x14ac:dyDescent="0.35">
      <c r="B19" s="29" t="s">
        <v>188</v>
      </c>
      <c r="C19" s="29" t="s">
        <v>104</v>
      </c>
      <c r="D19" s="24">
        <v>1</v>
      </c>
      <c r="E19" s="31">
        <v>100</v>
      </c>
      <c r="F19" s="11"/>
      <c r="G19" s="24"/>
      <c r="I19" s="11"/>
      <c r="L19" s="11"/>
    </row>
    <row r="20" spans="2:12" x14ac:dyDescent="0.35">
      <c r="B20" s="29" t="s">
        <v>199</v>
      </c>
      <c r="C20" s="29" t="s">
        <v>104</v>
      </c>
      <c r="D20" s="24"/>
      <c r="E20" s="31"/>
      <c r="F20" s="11"/>
      <c r="G20" s="24">
        <v>1.5</v>
      </c>
      <c r="H20" s="31">
        <v>100</v>
      </c>
      <c r="I20" s="11"/>
      <c r="L20" s="11"/>
    </row>
    <row r="21" spans="2:12" x14ac:dyDescent="0.35">
      <c r="B21" s="29" t="s">
        <v>189</v>
      </c>
      <c r="C21" s="29" t="s">
        <v>104</v>
      </c>
      <c r="D21" s="24"/>
      <c r="E21" s="31"/>
      <c r="F21" s="11"/>
      <c r="G21" s="24">
        <v>0.75</v>
      </c>
      <c r="H21" s="31">
        <v>100</v>
      </c>
      <c r="I21" s="11"/>
      <c r="L21" s="11"/>
    </row>
    <row r="22" spans="2:12" x14ac:dyDescent="0.35">
      <c r="B22" s="29" t="s">
        <v>200</v>
      </c>
      <c r="C22" s="29" t="s">
        <v>104</v>
      </c>
      <c r="D22" s="24"/>
      <c r="E22" s="31"/>
      <c r="F22" s="11"/>
      <c r="G22" s="24">
        <v>1</v>
      </c>
      <c r="H22" s="31">
        <v>100</v>
      </c>
      <c r="I22" s="11"/>
      <c r="L22" s="11"/>
    </row>
    <row r="23" spans="2:12" x14ac:dyDescent="0.35">
      <c r="B23" s="29" t="s">
        <v>196</v>
      </c>
      <c r="C23" s="29" t="s">
        <v>104</v>
      </c>
      <c r="D23" s="24"/>
      <c r="E23" s="31"/>
      <c r="F23" s="11"/>
      <c r="G23" s="24">
        <v>1</v>
      </c>
      <c r="H23" s="31">
        <v>100</v>
      </c>
      <c r="I23" s="11"/>
      <c r="L23" s="11"/>
    </row>
    <row r="24" spans="2:12" x14ac:dyDescent="0.35">
      <c r="B24" s="29" t="s">
        <v>190</v>
      </c>
      <c r="C24" s="29" t="s">
        <v>104</v>
      </c>
      <c r="D24" s="24"/>
      <c r="E24" s="31"/>
      <c r="F24" s="11"/>
      <c r="G24" s="24">
        <v>0.5</v>
      </c>
      <c r="H24" s="31">
        <v>100</v>
      </c>
      <c r="I24" s="11"/>
      <c r="L24" s="11"/>
    </row>
    <row r="25" spans="2:12" x14ac:dyDescent="0.35">
      <c r="B25" s="29" t="s">
        <v>202</v>
      </c>
      <c r="C25" s="29" t="s">
        <v>104</v>
      </c>
      <c r="D25" s="24"/>
      <c r="E25" s="31"/>
      <c r="F25" s="11"/>
      <c r="G25" s="24">
        <v>3</v>
      </c>
      <c r="H25" s="31">
        <v>100</v>
      </c>
      <c r="I25" s="11"/>
      <c r="L25" s="11"/>
    </row>
    <row r="26" spans="2:12" x14ac:dyDescent="0.35">
      <c r="B26" s="29" t="s">
        <v>191</v>
      </c>
      <c r="C26" s="29" t="s">
        <v>104</v>
      </c>
      <c r="D26" s="24"/>
      <c r="E26" s="31"/>
      <c r="F26" s="11"/>
      <c r="G26" s="24">
        <v>0.75</v>
      </c>
      <c r="H26" s="31">
        <v>100</v>
      </c>
      <c r="I26" s="11"/>
      <c r="L26" s="11"/>
    </row>
    <row r="27" spans="2:12" x14ac:dyDescent="0.35">
      <c r="B27" s="29" t="s">
        <v>192</v>
      </c>
      <c r="C27" s="29" t="s">
        <v>104</v>
      </c>
      <c r="D27" s="24"/>
      <c r="E27" s="31"/>
      <c r="F27" s="11"/>
      <c r="G27" s="24">
        <v>0.5</v>
      </c>
      <c r="H27" s="31">
        <v>100</v>
      </c>
      <c r="I27" s="11"/>
      <c r="L27" s="11"/>
    </row>
    <row r="28" spans="2:12" x14ac:dyDescent="0.35">
      <c r="B28" s="29" t="s">
        <v>193</v>
      </c>
      <c r="C28" s="29" t="s">
        <v>104</v>
      </c>
      <c r="D28" s="24"/>
      <c r="E28" s="31"/>
      <c r="F28" s="11"/>
      <c r="G28" s="24">
        <v>0.75</v>
      </c>
      <c r="H28" s="31">
        <v>100</v>
      </c>
      <c r="I28" s="11"/>
      <c r="L28" s="11"/>
    </row>
    <row r="29" spans="2:12" x14ac:dyDescent="0.35">
      <c r="B29" s="29" t="s">
        <v>194</v>
      </c>
      <c r="C29" s="29" t="s">
        <v>104</v>
      </c>
      <c r="D29" s="24"/>
      <c r="E29" s="31"/>
      <c r="F29" s="11"/>
      <c r="G29" s="24">
        <v>0.5</v>
      </c>
      <c r="H29" s="31">
        <v>100</v>
      </c>
      <c r="I29" s="11"/>
      <c r="L29" s="11"/>
    </row>
    <row r="30" spans="2:12" x14ac:dyDescent="0.35">
      <c r="B30" s="29" t="s">
        <v>198</v>
      </c>
      <c r="C30" s="29" t="s">
        <v>104</v>
      </c>
      <c r="D30" s="24"/>
      <c r="E30" s="31"/>
      <c r="F30" s="11"/>
      <c r="G30" s="24">
        <v>1.25</v>
      </c>
      <c r="H30" s="31">
        <v>100</v>
      </c>
      <c r="I30" s="11"/>
      <c r="L30" s="11"/>
    </row>
    <row r="31" spans="2:12" x14ac:dyDescent="0.35">
      <c r="B31" s="29" t="s">
        <v>195</v>
      </c>
      <c r="C31" s="29" t="s">
        <v>104</v>
      </c>
      <c r="D31" s="24"/>
      <c r="E31" s="31"/>
      <c r="F31" s="11"/>
      <c r="G31" s="24">
        <v>0.5</v>
      </c>
      <c r="H31" s="31">
        <v>100</v>
      </c>
      <c r="I31" s="11"/>
      <c r="L31" s="11"/>
    </row>
    <row r="32" spans="2:12" x14ac:dyDescent="0.35">
      <c r="B32" s="29" t="s">
        <v>197</v>
      </c>
      <c r="C32" s="29" t="s">
        <v>104</v>
      </c>
      <c r="D32" s="24"/>
      <c r="E32" s="31"/>
      <c r="F32" s="11"/>
      <c r="G32" s="24">
        <v>0.5</v>
      </c>
      <c r="H32" s="31">
        <v>100</v>
      </c>
      <c r="I32" s="11"/>
      <c r="L32" s="11"/>
    </row>
    <row r="33" spans="2:12" x14ac:dyDescent="0.35">
      <c r="B33" s="29" t="s">
        <v>201</v>
      </c>
      <c r="C33" s="29" t="s">
        <v>104</v>
      </c>
      <c r="D33" s="24"/>
      <c r="E33" s="31"/>
      <c r="F33" s="11"/>
      <c r="G33" s="24">
        <v>1.25</v>
      </c>
      <c r="H33" s="31">
        <v>100</v>
      </c>
      <c r="I33" s="11"/>
      <c r="L33" s="11"/>
    </row>
    <row r="34" spans="2:12" x14ac:dyDescent="0.35">
      <c r="B34" s="29" t="s">
        <v>204</v>
      </c>
      <c r="C34" s="29" t="s">
        <v>104</v>
      </c>
      <c r="D34" s="24"/>
      <c r="E34" s="31"/>
      <c r="F34" s="11"/>
      <c r="G34" s="24">
        <v>0.75</v>
      </c>
      <c r="H34" s="31">
        <v>100</v>
      </c>
      <c r="I34" s="11" t="s">
        <v>206</v>
      </c>
      <c r="L34" s="11"/>
    </row>
    <row r="35" spans="2:12" x14ac:dyDescent="0.35">
      <c r="B35" s="29" t="s">
        <v>208</v>
      </c>
      <c r="C35" s="29" t="s">
        <v>104</v>
      </c>
      <c r="D35" s="24"/>
      <c r="E35" s="31"/>
      <c r="F35" s="11"/>
      <c r="G35" s="24"/>
      <c r="I35" s="11"/>
      <c r="J35">
        <v>1</v>
      </c>
      <c r="K35">
        <v>100</v>
      </c>
      <c r="L35" s="11"/>
    </row>
    <row r="36" spans="2:12" x14ac:dyDescent="0.35">
      <c r="B36" s="29" t="s">
        <v>207</v>
      </c>
      <c r="C36" s="29" t="s">
        <v>104</v>
      </c>
      <c r="D36" s="24"/>
      <c r="E36" s="31"/>
      <c r="F36" s="11"/>
      <c r="G36" s="24"/>
      <c r="I36" s="11"/>
      <c r="J36">
        <v>3</v>
      </c>
      <c r="K36">
        <v>100</v>
      </c>
      <c r="L36" s="11"/>
    </row>
    <row r="37" spans="2:12" x14ac:dyDescent="0.35">
      <c r="B37" s="29" t="s">
        <v>209</v>
      </c>
      <c r="C37" s="29" t="s">
        <v>104</v>
      </c>
      <c r="D37" s="24"/>
      <c r="E37" s="31"/>
      <c r="F37" s="11"/>
      <c r="G37" s="24"/>
      <c r="I37" s="11"/>
      <c r="J37">
        <v>0.25</v>
      </c>
      <c r="K37">
        <v>100</v>
      </c>
      <c r="L37" s="11"/>
    </row>
    <row r="38" spans="2:12" x14ac:dyDescent="0.35">
      <c r="B38" s="29" t="s">
        <v>210</v>
      </c>
      <c r="C38" s="29" t="s">
        <v>104</v>
      </c>
      <c r="D38" s="24"/>
      <c r="E38" s="31"/>
      <c r="F38" s="11"/>
      <c r="G38" s="24"/>
      <c r="I38" s="11"/>
      <c r="J38">
        <v>1</v>
      </c>
      <c r="K38">
        <v>100</v>
      </c>
      <c r="L38" s="11"/>
    </row>
    <row r="39" spans="2:12" x14ac:dyDescent="0.35">
      <c r="B39" s="29" t="s">
        <v>211</v>
      </c>
      <c r="C39" s="29" t="s">
        <v>104</v>
      </c>
      <c r="D39" s="24"/>
      <c r="E39" s="31"/>
      <c r="F39" s="11"/>
      <c r="G39" s="24"/>
      <c r="I39" s="11"/>
      <c r="J39">
        <v>2</v>
      </c>
      <c r="K39">
        <v>100</v>
      </c>
      <c r="L39" s="11"/>
    </row>
    <row r="40" spans="2:12" x14ac:dyDescent="0.35">
      <c r="B40" s="29" t="s">
        <v>212</v>
      </c>
      <c r="C40" s="29" t="s">
        <v>104</v>
      </c>
      <c r="D40" s="24"/>
      <c r="E40" s="31"/>
      <c r="F40" s="11"/>
      <c r="G40" s="24"/>
      <c r="I40" s="11"/>
      <c r="J40">
        <v>0.75</v>
      </c>
      <c r="K40">
        <v>100</v>
      </c>
      <c r="L40" s="11"/>
    </row>
    <row r="41" spans="2:12" x14ac:dyDescent="0.35">
      <c r="B41" s="29" t="s">
        <v>213</v>
      </c>
      <c r="C41" s="29" t="s">
        <v>104</v>
      </c>
      <c r="D41" s="24"/>
      <c r="E41" s="31"/>
      <c r="F41" s="11"/>
      <c r="G41" s="24"/>
      <c r="I41" s="11"/>
      <c r="J41">
        <v>0.3</v>
      </c>
      <c r="K41">
        <v>100</v>
      </c>
      <c r="L41" s="11"/>
    </row>
    <row r="42" spans="2:12" x14ac:dyDescent="0.35">
      <c r="B42" s="29" t="s">
        <v>56</v>
      </c>
      <c r="C42" s="29" t="s">
        <v>104</v>
      </c>
      <c r="D42" s="24"/>
      <c r="E42" s="31"/>
      <c r="F42" s="11"/>
      <c r="G42" s="24"/>
      <c r="I42" s="11"/>
      <c r="J42">
        <v>0.5</v>
      </c>
      <c r="K42">
        <v>100</v>
      </c>
      <c r="L42" s="11"/>
    </row>
    <row r="43" spans="2:12" x14ac:dyDescent="0.35">
      <c r="B43" s="29" t="s">
        <v>215</v>
      </c>
      <c r="C43" s="29" t="s">
        <v>104</v>
      </c>
      <c r="D43" s="24"/>
      <c r="E43" s="31"/>
      <c r="F43" s="11"/>
      <c r="G43" s="24"/>
      <c r="I43" s="11"/>
      <c r="J43">
        <v>1</v>
      </c>
      <c r="K43">
        <v>100</v>
      </c>
      <c r="L43" s="11"/>
    </row>
    <row r="44" spans="2:12" x14ac:dyDescent="0.35">
      <c r="B44" s="29" t="s">
        <v>214</v>
      </c>
      <c r="C44" s="29" t="s">
        <v>104</v>
      </c>
      <c r="D44" s="24"/>
      <c r="E44" s="31"/>
      <c r="F44" s="11"/>
      <c r="G44" s="24"/>
      <c r="I44" s="11"/>
      <c r="J44">
        <v>1</v>
      </c>
      <c r="K44">
        <v>100</v>
      </c>
      <c r="L44" s="11"/>
    </row>
    <row r="45" spans="2:12" x14ac:dyDescent="0.35">
      <c r="B45" s="58" t="s">
        <v>185</v>
      </c>
      <c r="C45" s="7" t="s">
        <v>105</v>
      </c>
      <c r="D45" s="24">
        <v>0.5</v>
      </c>
      <c r="E45" s="31">
        <v>100</v>
      </c>
      <c r="F45" s="11"/>
      <c r="G45" s="24"/>
      <c r="I45" s="11"/>
      <c r="L45" s="11"/>
    </row>
    <row r="46" spans="2:12" x14ac:dyDescent="0.35">
      <c r="B46" s="58" t="s">
        <v>85</v>
      </c>
      <c r="C46" s="7" t="s">
        <v>105</v>
      </c>
      <c r="D46" s="24">
        <v>1</v>
      </c>
      <c r="E46" s="31">
        <v>100</v>
      </c>
      <c r="F46" s="11"/>
      <c r="G46" s="24"/>
      <c r="I46" s="11"/>
      <c r="L46" s="11"/>
    </row>
    <row r="47" spans="2:12" x14ac:dyDescent="0.35">
      <c r="B47" s="58" t="s">
        <v>83</v>
      </c>
      <c r="C47" s="7" t="s">
        <v>105</v>
      </c>
      <c r="D47" s="24">
        <v>0.5</v>
      </c>
      <c r="E47" s="31">
        <v>100</v>
      </c>
      <c r="F47" s="11"/>
      <c r="G47" s="24"/>
      <c r="I47" s="11"/>
      <c r="L47" s="11"/>
    </row>
    <row r="48" spans="2:12" x14ac:dyDescent="0.35">
      <c r="B48" s="58" t="s">
        <v>62</v>
      </c>
      <c r="C48" s="7" t="s">
        <v>105</v>
      </c>
      <c r="D48" s="24">
        <v>1.5</v>
      </c>
      <c r="E48" s="31">
        <v>100</v>
      </c>
      <c r="F48" s="11"/>
      <c r="G48" s="24"/>
      <c r="I48" s="11"/>
      <c r="L48" s="11"/>
    </row>
    <row r="49" spans="2:12" x14ac:dyDescent="0.35">
      <c r="B49" s="58" t="s">
        <v>86</v>
      </c>
      <c r="C49" s="7" t="s">
        <v>105</v>
      </c>
      <c r="D49" s="24">
        <v>0.5</v>
      </c>
      <c r="E49" s="31">
        <v>100</v>
      </c>
      <c r="F49" s="11"/>
      <c r="G49" s="24"/>
      <c r="I49" s="11"/>
      <c r="L49" s="11"/>
    </row>
    <row r="50" spans="2:12" x14ac:dyDescent="0.35">
      <c r="B50" s="58" t="s">
        <v>230</v>
      </c>
      <c r="C50" s="7" t="s">
        <v>105</v>
      </c>
      <c r="D50" s="24">
        <v>2</v>
      </c>
      <c r="E50" s="31">
        <v>25</v>
      </c>
      <c r="F50" s="11"/>
      <c r="G50" s="24">
        <v>3</v>
      </c>
      <c r="H50" s="31">
        <v>100</v>
      </c>
      <c r="I50" s="11"/>
      <c r="L50" s="11"/>
    </row>
    <row r="51" spans="2:12" x14ac:dyDescent="0.35">
      <c r="B51" s="58" t="s">
        <v>58</v>
      </c>
      <c r="C51" s="7" t="s">
        <v>105</v>
      </c>
      <c r="D51" s="24">
        <v>0.5</v>
      </c>
      <c r="E51" s="31">
        <v>100</v>
      </c>
      <c r="F51" s="11"/>
      <c r="G51" s="24"/>
      <c r="I51" s="11"/>
      <c r="L51" s="11"/>
    </row>
    <row r="52" spans="2:12" x14ac:dyDescent="0.35">
      <c r="B52" s="58" t="s">
        <v>59</v>
      </c>
      <c r="C52" s="7" t="s">
        <v>105</v>
      </c>
      <c r="D52" s="24">
        <v>0.75</v>
      </c>
      <c r="E52" s="31">
        <v>100</v>
      </c>
      <c r="F52" s="11"/>
      <c r="G52" s="24"/>
      <c r="I52" s="11"/>
      <c r="L52" s="11"/>
    </row>
    <row r="53" spans="2:12" x14ac:dyDescent="0.35">
      <c r="B53" s="58" t="s">
        <v>60</v>
      </c>
      <c r="C53" s="7" t="s">
        <v>105</v>
      </c>
      <c r="D53" s="24">
        <v>0.5</v>
      </c>
      <c r="E53" s="31">
        <v>100</v>
      </c>
      <c r="F53" s="11"/>
      <c r="G53" s="24"/>
      <c r="I53" s="11"/>
      <c r="L53" s="11"/>
    </row>
    <row r="54" spans="2:12" x14ac:dyDescent="0.35">
      <c r="B54" s="58" t="s">
        <v>57</v>
      </c>
      <c r="C54" s="7" t="s">
        <v>105</v>
      </c>
      <c r="D54" s="24">
        <v>1</v>
      </c>
      <c r="E54" s="31">
        <v>100</v>
      </c>
      <c r="G54" s="24"/>
      <c r="I54" s="11"/>
      <c r="L54" s="11"/>
    </row>
    <row r="55" spans="2:12" x14ac:dyDescent="0.35">
      <c r="B55" s="58" t="s">
        <v>184</v>
      </c>
      <c r="C55" s="7" t="s">
        <v>105</v>
      </c>
      <c r="D55" s="24">
        <v>0.25</v>
      </c>
      <c r="E55" s="31">
        <v>100</v>
      </c>
      <c r="G55" s="24"/>
      <c r="I55" s="11"/>
      <c r="L55" s="11"/>
    </row>
    <row r="56" spans="2:12" x14ac:dyDescent="0.35">
      <c r="B56" s="58" t="s">
        <v>225</v>
      </c>
      <c r="C56" s="7" t="s">
        <v>105</v>
      </c>
      <c r="D56" s="24">
        <v>1.5</v>
      </c>
      <c r="E56" s="31">
        <v>75</v>
      </c>
      <c r="G56" s="24"/>
      <c r="I56" s="11"/>
      <c r="J56">
        <v>3</v>
      </c>
      <c r="K56">
        <v>100</v>
      </c>
      <c r="L56" s="11"/>
    </row>
    <row r="57" spans="2:12" x14ac:dyDescent="0.35">
      <c r="B57" s="58" t="s">
        <v>226</v>
      </c>
      <c r="C57" s="7" t="s">
        <v>105</v>
      </c>
      <c r="D57" s="24"/>
      <c r="G57" s="24">
        <v>2</v>
      </c>
      <c r="H57" s="31">
        <v>25</v>
      </c>
      <c r="I57" s="11"/>
      <c r="J57">
        <v>1</v>
      </c>
      <c r="K57">
        <v>100</v>
      </c>
      <c r="L57" s="11"/>
    </row>
    <row r="58" spans="2:12" ht="58" x14ac:dyDescent="0.35">
      <c r="B58" s="58" t="s">
        <v>205</v>
      </c>
      <c r="C58" s="7" t="s">
        <v>105</v>
      </c>
      <c r="D58" s="24"/>
      <c r="G58" s="24">
        <v>1.5</v>
      </c>
      <c r="H58" s="31">
        <v>75</v>
      </c>
      <c r="I58" s="61" t="s">
        <v>219</v>
      </c>
      <c r="J58">
        <v>2</v>
      </c>
      <c r="K58">
        <v>100</v>
      </c>
      <c r="L58" s="40" t="s">
        <v>220</v>
      </c>
    </row>
    <row r="59" spans="2:12" x14ac:dyDescent="0.35">
      <c r="B59" s="58" t="s">
        <v>217</v>
      </c>
      <c r="C59" s="7" t="s">
        <v>105</v>
      </c>
      <c r="D59" s="24"/>
      <c r="J59">
        <v>0.5</v>
      </c>
      <c r="K59">
        <v>100</v>
      </c>
      <c r="L59" t="s">
        <v>229</v>
      </c>
    </row>
    <row r="60" spans="2:12" x14ac:dyDescent="0.35">
      <c r="B60" s="58" t="s">
        <v>218</v>
      </c>
      <c r="C60" s="7" t="s">
        <v>105</v>
      </c>
      <c r="D60" s="24"/>
      <c r="J60">
        <v>0.5</v>
      </c>
      <c r="K60">
        <v>100</v>
      </c>
      <c r="L60" t="s">
        <v>229</v>
      </c>
    </row>
    <row r="61" spans="2:12" x14ac:dyDescent="0.35">
      <c r="B61" s="58"/>
      <c r="C61" s="7"/>
      <c r="D61" s="24"/>
    </row>
    <row r="62" spans="2:12" x14ac:dyDescent="0.35">
      <c r="B62" s="58"/>
      <c r="C62" s="7"/>
      <c r="D62" s="24"/>
    </row>
    <row r="63" spans="2:12" x14ac:dyDescent="0.35">
      <c r="B63" s="58"/>
      <c r="C63" s="7"/>
      <c r="D63" s="24"/>
    </row>
    <row r="64" spans="2:12" x14ac:dyDescent="0.35">
      <c r="B64" s="58"/>
      <c r="C64" s="7"/>
      <c r="D64" s="24"/>
    </row>
    <row r="65" spans="2:4" x14ac:dyDescent="0.35">
      <c r="B65" s="58"/>
      <c r="C65" s="7"/>
      <c r="D65" s="24"/>
    </row>
    <row r="66" spans="2:4" x14ac:dyDescent="0.35">
      <c r="B66" s="58"/>
      <c r="D66" s="24"/>
    </row>
    <row r="67" spans="2:4" x14ac:dyDescent="0.35">
      <c r="B67" s="58"/>
      <c r="D67" s="24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1 B4:B58">
    <cfRule type="expression" dxfId="22" priority="49">
      <formula>MAX($E1,$H1,$K1)=100</formula>
    </cfRule>
  </conditionalFormatting>
  <conditionalFormatting sqref="B42">
    <cfRule type="expression" dxfId="21" priority="89">
      <formula>MAX(#REF!,#REF!,#REF!)=100</formula>
    </cfRule>
  </conditionalFormatting>
  <conditionalFormatting sqref="B61:B67">
    <cfRule type="expression" dxfId="20" priority="10">
      <formula>MAX($E61,$H61,$K61)=100</formula>
    </cfRule>
  </conditionalFormatting>
  <conditionalFormatting sqref="C1 C4:C58 C61:C65">
    <cfRule type="expression" dxfId="19" priority="46">
      <formula>$C1="Charlotte/Eddy"</formula>
    </cfRule>
    <cfRule type="expression" dxfId="18" priority="47">
      <formula>$C1="Charlotte"</formula>
    </cfRule>
    <cfRule type="expression" dxfId="17" priority="48">
      <formula>$C1="Eddy"</formula>
    </cfRule>
  </conditionalFormatting>
  <conditionalFormatting sqref="B42">
    <cfRule type="expression" dxfId="16" priority="98">
      <formula>MAX(#REF!,#REF!,#REF!)=100</formula>
    </cfRule>
  </conditionalFormatting>
  <conditionalFormatting sqref="B59:B60">
    <cfRule type="expression" dxfId="15" priority="4">
      <formula>MAX($E59,$H59,$K59)=100</formula>
    </cfRule>
  </conditionalFormatting>
  <conditionalFormatting sqref="C59:C60">
    <cfRule type="expression" dxfId="14" priority="1">
      <formula>$C59="Charlotte/Eddy"</formula>
    </cfRule>
    <cfRule type="expression" dxfId="13" priority="2">
      <formula>$C59="Charlotte"</formula>
    </cfRule>
    <cfRule type="expression" dxfId="12" priority="3">
      <formula>$C59="Eddy"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1796875" bestFit="1" customWidth="1"/>
  </cols>
  <sheetData>
    <row r="1" spans="2:5" ht="46" x14ac:dyDescent="1">
      <c r="B1" s="1" t="s">
        <v>20</v>
      </c>
    </row>
    <row r="3" spans="2:5" ht="21" x14ac:dyDescent="0.5">
      <c r="B3" s="8" t="s">
        <v>22</v>
      </c>
      <c r="C3" s="8" t="s">
        <v>21</v>
      </c>
      <c r="D3" s="8" t="s">
        <v>7</v>
      </c>
      <c r="E3" s="8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25"/>
  <sheetViews>
    <sheetView tabSelected="1" topLeftCell="A4" zoomScaleNormal="100" workbookViewId="0">
      <selection activeCell="B31" sqref="B31"/>
    </sheetView>
  </sheetViews>
  <sheetFormatPr baseColWidth="10" defaultRowHeight="14.5" x14ac:dyDescent="0.35"/>
  <cols>
    <col min="1" max="1" width="1.81640625" customWidth="1"/>
    <col min="2" max="2" width="75" bestFit="1" customWidth="1"/>
    <col min="3" max="3" width="17.453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20.6328125" bestFit="1" customWidth="1"/>
    <col min="9" max="9" width="19.81640625" bestFit="1" customWidth="1"/>
    <col min="10" max="10" width="20.1796875" customWidth="1"/>
    <col min="11" max="11" width="16.1796875" bestFit="1" customWidth="1"/>
    <col min="12" max="12" width="18.81640625" bestFit="1" customWidth="1"/>
    <col min="13" max="13" width="16.1796875" bestFit="1" customWidth="1"/>
    <col min="14" max="14" width="14.6328125" customWidth="1"/>
    <col min="15" max="15" width="19.81640625" bestFit="1" customWidth="1"/>
  </cols>
  <sheetData>
    <row r="2" spans="2:15" ht="46" x14ac:dyDescent="1">
      <c r="B2" s="71" t="s">
        <v>17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</row>
    <row r="5" spans="2:15" ht="15" thickBot="1" x14ac:dyDescent="0.4"/>
    <row r="6" spans="2:15" ht="21" x14ac:dyDescent="0.5">
      <c r="B6" s="65" t="s">
        <v>1</v>
      </c>
      <c r="C6" s="67" t="s">
        <v>7</v>
      </c>
      <c r="D6" s="42" t="s">
        <v>13</v>
      </c>
      <c r="E6" s="43">
        <v>46139</v>
      </c>
      <c r="F6" s="69" t="s">
        <v>12</v>
      </c>
      <c r="G6" s="60" t="s">
        <v>14</v>
      </c>
      <c r="H6" s="43">
        <v>46146</v>
      </c>
      <c r="I6" s="69" t="s">
        <v>12</v>
      </c>
      <c r="J6" s="45" t="s">
        <v>15</v>
      </c>
      <c r="K6" s="43">
        <v>46153</v>
      </c>
      <c r="L6" s="69" t="s">
        <v>12</v>
      </c>
      <c r="M6" s="45" t="s">
        <v>19</v>
      </c>
      <c r="N6" s="43">
        <v>46160</v>
      </c>
      <c r="O6" s="69" t="s">
        <v>12</v>
      </c>
    </row>
    <row r="7" spans="2:15" ht="21.5" thickBot="1" x14ac:dyDescent="0.55000000000000004">
      <c r="B7" s="66"/>
      <c r="C7" s="68"/>
      <c r="D7" s="42" t="s">
        <v>10</v>
      </c>
      <c r="E7" s="44" t="s">
        <v>11</v>
      </c>
      <c r="F7" s="70"/>
      <c r="G7" s="59" t="s">
        <v>10</v>
      </c>
      <c r="H7" s="59" t="s">
        <v>11</v>
      </c>
      <c r="I7" s="70"/>
      <c r="J7" s="44" t="s">
        <v>10</v>
      </c>
      <c r="K7" s="44" t="s">
        <v>11</v>
      </c>
      <c r="L7" s="70"/>
      <c r="M7" s="44" t="s">
        <v>10</v>
      </c>
      <c r="N7" s="44" t="s">
        <v>11</v>
      </c>
      <c r="O7" s="70"/>
    </row>
    <row r="8" spans="2:15" x14ac:dyDescent="0.35">
      <c r="B8" s="29" t="s">
        <v>216</v>
      </c>
      <c r="C8" s="29" t="s">
        <v>104</v>
      </c>
      <c r="D8" s="24"/>
      <c r="E8" s="31"/>
      <c r="F8" s="11"/>
      <c r="G8" s="24"/>
      <c r="H8" s="31"/>
      <c r="I8" s="11"/>
      <c r="L8" s="11"/>
      <c r="M8" s="9"/>
      <c r="N8" s="9"/>
      <c r="O8" s="10"/>
    </row>
    <row r="9" spans="2:15" x14ac:dyDescent="0.35">
      <c r="B9" s="29" t="s">
        <v>203</v>
      </c>
      <c r="C9" s="29" t="s">
        <v>104</v>
      </c>
      <c r="D9" s="24"/>
      <c r="E9" s="31"/>
      <c r="F9" s="11"/>
      <c r="G9" s="24"/>
      <c r="H9" s="31"/>
      <c r="I9" s="11"/>
      <c r="L9" s="11"/>
      <c r="O9" s="11"/>
    </row>
    <row r="10" spans="2:15" x14ac:dyDescent="0.35">
      <c r="B10" s="29" t="s">
        <v>46</v>
      </c>
      <c r="C10" s="29" t="s">
        <v>104</v>
      </c>
      <c r="D10" s="24"/>
      <c r="E10" s="31"/>
      <c r="F10" s="11"/>
      <c r="G10" s="24"/>
      <c r="H10" s="31"/>
      <c r="I10" s="11"/>
      <c r="L10" s="11"/>
      <c r="O10" s="11"/>
    </row>
    <row r="11" spans="2:15" x14ac:dyDescent="0.35">
      <c r="B11" s="29" t="s">
        <v>45</v>
      </c>
      <c r="C11" s="29" t="s">
        <v>104</v>
      </c>
      <c r="D11" s="24"/>
      <c r="E11" s="31"/>
      <c r="F11" s="11"/>
      <c r="G11" s="24"/>
      <c r="H11" s="31"/>
      <c r="I11" s="11"/>
      <c r="L11" s="11"/>
      <c r="O11" s="11"/>
    </row>
    <row r="12" spans="2:15" x14ac:dyDescent="0.35">
      <c r="B12" s="29" t="s">
        <v>41</v>
      </c>
      <c r="C12" s="29" t="s">
        <v>104</v>
      </c>
      <c r="D12" s="24"/>
      <c r="E12" s="31"/>
      <c r="F12" s="11"/>
      <c r="G12" s="24"/>
      <c r="H12" s="31"/>
      <c r="I12" s="11"/>
      <c r="L12" s="11"/>
      <c r="O12" s="11"/>
    </row>
    <row r="13" spans="2:15" x14ac:dyDescent="0.35">
      <c r="B13" s="29" t="s">
        <v>71</v>
      </c>
      <c r="C13" s="29" t="s">
        <v>104</v>
      </c>
      <c r="D13" s="24"/>
      <c r="E13" s="31"/>
      <c r="F13" s="11"/>
      <c r="G13" s="24"/>
      <c r="H13" s="31"/>
      <c r="I13" s="11"/>
      <c r="L13" s="11"/>
      <c r="O13" s="11"/>
    </row>
    <row r="14" spans="2:15" x14ac:dyDescent="0.35">
      <c r="B14" s="29" t="s">
        <v>108</v>
      </c>
      <c r="C14" s="29" t="s">
        <v>104</v>
      </c>
      <c r="D14" s="24"/>
      <c r="E14" s="31"/>
      <c r="F14" s="11"/>
      <c r="G14" s="24"/>
      <c r="H14" s="31"/>
      <c r="I14" s="11"/>
      <c r="L14" s="11"/>
      <c r="O14" s="11"/>
    </row>
    <row r="15" spans="2:15" x14ac:dyDescent="0.35">
      <c r="B15" s="29" t="s">
        <v>70</v>
      </c>
      <c r="C15" s="29" t="s">
        <v>104</v>
      </c>
      <c r="D15" s="24"/>
      <c r="E15" s="31"/>
      <c r="F15" s="11"/>
      <c r="G15" s="24"/>
      <c r="H15" s="31"/>
      <c r="I15" s="11"/>
      <c r="L15" s="11"/>
    </row>
    <row r="16" spans="2:15" x14ac:dyDescent="0.35">
      <c r="B16" s="29" t="s">
        <v>231</v>
      </c>
      <c r="C16" s="29" t="s">
        <v>104</v>
      </c>
      <c r="D16" s="24"/>
      <c r="E16" s="31"/>
      <c r="F16" s="11"/>
      <c r="G16" s="24"/>
      <c r="H16" s="31"/>
      <c r="I16" s="11"/>
      <c r="L16" s="11"/>
    </row>
    <row r="17" spans="2:12" x14ac:dyDescent="0.35">
      <c r="B17" s="29" t="s">
        <v>232</v>
      </c>
      <c r="C17" s="29" t="s">
        <v>104</v>
      </c>
      <c r="D17" s="24"/>
      <c r="E17" s="31"/>
      <c r="F17" s="11"/>
      <c r="G17" s="24"/>
      <c r="H17" s="31"/>
      <c r="I17" s="11"/>
      <c r="L17" s="11"/>
    </row>
    <row r="18" spans="2:12" x14ac:dyDescent="0.35">
      <c r="B18" s="29" t="s">
        <v>182</v>
      </c>
      <c r="C18" s="29" t="s">
        <v>104</v>
      </c>
      <c r="D18" s="24"/>
      <c r="E18" s="31"/>
      <c r="F18" s="11"/>
      <c r="G18" s="24"/>
      <c r="H18" s="31"/>
      <c r="I18" s="11"/>
      <c r="L18" s="11"/>
    </row>
    <row r="19" spans="2:12" x14ac:dyDescent="0.35">
      <c r="B19" s="29" t="s">
        <v>221</v>
      </c>
      <c r="C19" s="29" t="s">
        <v>105</v>
      </c>
      <c r="D19" s="24"/>
      <c r="E19" s="31"/>
      <c r="F19" s="11"/>
      <c r="G19" s="24"/>
      <c r="H19" s="31"/>
      <c r="I19" s="11"/>
      <c r="L19" s="11"/>
    </row>
    <row r="20" spans="2:12" x14ac:dyDescent="0.35">
      <c r="B20" s="29" t="s">
        <v>222</v>
      </c>
      <c r="C20" s="29" t="s">
        <v>105</v>
      </c>
      <c r="D20" s="24"/>
      <c r="E20" s="31"/>
      <c r="F20" s="11"/>
      <c r="G20" s="24"/>
      <c r="H20" s="31"/>
      <c r="I20" s="11"/>
      <c r="L20" s="11"/>
    </row>
    <row r="21" spans="2:12" x14ac:dyDescent="0.35">
      <c r="B21" s="29" t="s">
        <v>227</v>
      </c>
      <c r="C21" s="29" t="s">
        <v>105</v>
      </c>
      <c r="D21" s="24"/>
      <c r="E21" s="31"/>
      <c r="F21" s="11"/>
      <c r="G21" s="24"/>
      <c r="H21" s="31"/>
      <c r="I21" s="11"/>
      <c r="L21" s="11"/>
    </row>
    <row r="22" spans="2:12" x14ac:dyDescent="0.35">
      <c r="B22" s="29" t="s">
        <v>223</v>
      </c>
      <c r="C22" s="29" t="s">
        <v>105</v>
      </c>
      <c r="D22" s="24"/>
      <c r="E22" s="31"/>
      <c r="F22" s="11"/>
      <c r="G22" s="24"/>
      <c r="H22" s="31"/>
      <c r="I22" s="11"/>
      <c r="L22" s="11"/>
    </row>
    <row r="23" spans="2:12" x14ac:dyDescent="0.35">
      <c r="B23" s="29" t="s">
        <v>224</v>
      </c>
      <c r="C23" s="29" t="s">
        <v>105</v>
      </c>
      <c r="D23" s="24"/>
      <c r="E23" s="31"/>
      <c r="F23" s="11"/>
      <c r="G23" s="24"/>
      <c r="H23" s="31"/>
      <c r="I23" s="11"/>
      <c r="L23" s="11"/>
    </row>
    <row r="24" spans="2:12" x14ac:dyDescent="0.35">
      <c r="B24" s="29" t="s">
        <v>228</v>
      </c>
      <c r="C24" s="29" t="s">
        <v>105</v>
      </c>
      <c r="D24" s="24"/>
      <c r="E24" s="31"/>
      <c r="F24" s="11"/>
      <c r="G24" s="24"/>
      <c r="H24" s="31"/>
      <c r="I24" s="11"/>
      <c r="L24" s="11"/>
    </row>
    <row r="25" spans="2:12" x14ac:dyDescent="0.35">
      <c r="B25" s="29"/>
      <c r="C25" s="29"/>
      <c r="D25" s="24"/>
      <c r="E25" s="31"/>
      <c r="F25" s="11"/>
      <c r="G25" s="24"/>
      <c r="H25" s="31"/>
      <c r="I25" s="11"/>
      <c r="L25" s="11"/>
    </row>
  </sheetData>
  <mergeCells count="7">
    <mergeCell ref="B2:O2"/>
    <mergeCell ref="O6:O7"/>
    <mergeCell ref="B6:B7"/>
    <mergeCell ref="C6:C7"/>
    <mergeCell ref="F6:F7"/>
    <mergeCell ref="I6:I7"/>
    <mergeCell ref="L6:L7"/>
  </mergeCells>
  <conditionalFormatting sqref="B2 B9:B17 B19:B25">
    <cfRule type="expression" dxfId="11" priority="17">
      <formula>MAX($E2,$H2,$K2)=100</formula>
    </cfRule>
  </conditionalFormatting>
  <conditionalFormatting sqref="B6:B7">
    <cfRule type="expression" dxfId="10" priority="9">
      <formula>MAX($E6,$H6,$K6)=100</formula>
    </cfRule>
  </conditionalFormatting>
  <conditionalFormatting sqref="C6:C25">
    <cfRule type="expression" dxfId="9" priority="6">
      <formula>$C6="Charlotte/Eddy"</formula>
    </cfRule>
    <cfRule type="expression" dxfId="8" priority="7">
      <formula>$C6="Charlotte"</formula>
    </cfRule>
    <cfRule type="expression" dxfId="7" priority="8">
      <formula>$C6="Eddy"</formula>
    </cfRule>
  </conditionalFormatting>
  <conditionalFormatting sqref="B18">
    <cfRule type="expression" dxfId="6" priority="101">
      <formula>MAX($E8,$H8,$K8)=100</formula>
    </cfRule>
  </conditionalFormatting>
  <conditionalFormatting sqref="B8">
    <cfRule type="expression" dxfId="5" priority="103">
      <formula>MAX($E12,$H12,$K12)=100</formula>
    </cfRule>
  </conditionalFormatting>
  <conditionalFormatting sqref="B8">
    <cfRule type="expression" dxfId="4" priority="105">
      <formula>MAX($E5,$H5,$K5)=100</formula>
    </cfRule>
  </conditionalFormatting>
  <conditionalFormatting sqref="B18">
    <cfRule type="expression" dxfId="3" priority="107">
      <formula>MAX($E24,$H24,$K24)=100</formula>
    </cfRule>
  </conditionalFormatting>
  <conditionalFormatting sqref="B9">
    <cfRule type="expression" dxfId="2" priority="108">
      <formula>MAX($E18,$H18,$K18)=100</formula>
    </cfRule>
  </conditionalFormatting>
  <conditionalFormatting sqref="B11:B17">
    <cfRule type="expression" dxfId="1" priority="117">
      <formula>MAX($E19,$H19,$K19)=100</formula>
    </cfRule>
  </conditionalFormatting>
  <conditionalFormatting sqref="B10">
    <cfRule type="expression" dxfId="0" priority="118">
      <formula>MAX(#REF!,#REF!,#REF!)=100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9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94</v>
      </c>
      <c r="C65" s="3"/>
      <c r="D65" s="3" t="s">
        <v>3</v>
      </c>
      <c r="E65" s="3"/>
      <c r="F65" s="3"/>
    </row>
    <row r="66" spans="2:6" hidden="1" x14ac:dyDescent="0.35">
      <c r="B66" s="3" t="s">
        <v>95</v>
      </c>
      <c r="C66" s="3"/>
      <c r="D66" s="3" t="s">
        <v>3</v>
      </c>
      <c r="E66" s="3"/>
      <c r="F66" s="3"/>
    </row>
    <row r="67" spans="2:6" hidden="1" x14ac:dyDescent="0.35">
      <c r="B67" s="3" t="s">
        <v>96</v>
      </c>
      <c r="C67" s="3"/>
      <c r="D67" s="3" t="s">
        <v>3</v>
      </c>
      <c r="E67" s="3"/>
      <c r="F67" s="3"/>
    </row>
    <row r="68" spans="2:6" hidden="1" x14ac:dyDescent="0.35">
      <c r="B68" s="3" t="s">
        <v>97</v>
      </c>
      <c r="C68" s="3"/>
      <c r="D68" s="3" t="s">
        <v>3</v>
      </c>
      <c r="E68" s="3"/>
      <c r="F68" s="3"/>
    </row>
    <row r="69" spans="2:6" hidden="1" x14ac:dyDescent="0.35">
      <c r="B69" s="3" t="s">
        <v>98</v>
      </c>
      <c r="C69" s="3"/>
      <c r="D69" s="3" t="s">
        <v>3</v>
      </c>
      <c r="E69" s="3"/>
      <c r="F69" s="3"/>
    </row>
    <row r="70" spans="2:6" hidden="1" x14ac:dyDescent="0.35">
      <c r="B70" s="3" t="s">
        <v>99</v>
      </c>
      <c r="C70" s="3"/>
      <c r="D70" s="3" t="s">
        <v>3</v>
      </c>
      <c r="E70" s="3"/>
      <c r="F70" s="3"/>
    </row>
    <row r="71" spans="2:6" hidden="1" x14ac:dyDescent="0.35">
      <c r="B71" s="3" t="s">
        <v>100</v>
      </c>
      <c r="C71" s="3"/>
      <c r="D71" s="3" t="s">
        <v>3</v>
      </c>
      <c r="E71" s="3"/>
      <c r="F71" s="3"/>
    </row>
    <row r="72" spans="2:6" hidden="1" x14ac:dyDescent="0.35">
      <c r="B72" s="3" t="s">
        <v>101</v>
      </c>
      <c r="C72" s="3"/>
      <c r="D72" s="3" t="s">
        <v>3</v>
      </c>
      <c r="E72" s="3"/>
      <c r="F72" s="3"/>
    </row>
    <row r="73" spans="2:6" hidden="1" x14ac:dyDescent="0.35">
      <c r="B73" s="3" t="s">
        <v>102</v>
      </c>
      <c r="C73" s="3"/>
      <c r="D73" s="3" t="s">
        <v>3</v>
      </c>
      <c r="E73" s="3"/>
      <c r="F73" s="3"/>
    </row>
    <row r="74" spans="2:6" hidden="1" x14ac:dyDescent="0.35">
      <c r="B74" s="3" t="s">
        <v>109</v>
      </c>
      <c r="C74" s="3"/>
      <c r="D74" s="3" t="s">
        <v>17</v>
      </c>
      <c r="E74" s="3"/>
      <c r="F74" s="3"/>
    </row>
    <row r="75" spans="2:6" hidden="1" x14ac:dyDescent="0.35">
      <c r="B75" s="3" t="s">
        <v>110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Planification</vt:lpstr>
      <vt:lpstr>Sprint 1</vt:lpstr>
      <vt:lpstr> Sprint 2</vt:lpstr>
      <vt:lpstr>Sprint 3</vt:lpstr>
      <vt:lpstr>Mi-mandat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2026-04-24T13:04:29Z</dcterms:modified>
</cp:coreProperties>
</file>